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4"/>
  <workbookPr filterPrivacy="1" codeName="ThisWorkbook"/>
  <xr:revisionPtr revIDLastSave="0" documentId="8_{C1C1474A-7C3D-48D6-A1AE-5906A2D5022C}" xr6:coauthVersionLast="47" xr6:coauthVersionMax="47" xr10:uidLastSave="{00000000-0000-0000-0000-000000000000}"/>
  <bookViews>
    <workbookView xWindow="-108" yWindow="-108" windowWidth="23256" windowHeight="12720" firstSheet="1" activeTab="1" xr2:uid="{00000000-000D-0000-FFFF-FFFF00000000}"/>
  </bookViews>
  <sheets>
    <sheet name="Auto Buyer Helper" sheetId="12" r:id="rId1"/>
    <sheet name="Sheet1" sheetId="13" r:id="rId2"/>
  </sheets>
  <definedNames>
    <definedName name="_xlnm._FilterDatabase" localSheetId="0" hidden="1">#REF!</definedName>
    <definedName name="BUDGET_Title" localSheetId="0">#REF!</definedName>
    <definedName name="BUDGET_Title">#REF!</definedName>
    <definedName name="ColumnTitle1" localSheetId="0">#REF!</definedName>
    <definedName name="ColumnTitle1">#REF!</definedName>
    <definedName name="COMPANY_NAME" localSheetId="0">#REF!</definedName>
    <definedName name="COMPANY_NAME">#REF!</definedName>
    <definedName name="Title1">#REF!</definedName>
    <definedName name="Title2">#REF!</definedName>
    <definedName name="Title3">#REF!</definedName>
    <definedName name="Title4">#REF!</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X9" i="12" l="1"/>
  <c r="BI5" i="12"/>
  <c r="BI6" i="12"/>
  <c r="BI7" i="12"/>
  <c r="BI8" i="12"/>
  <c r="BI9" i="12"/>
  <c r="BI10" i="12"/>
  <c r="BI11" i="12"/>
  <c r="BI12" i="12"/>
  <c r="BH6" i="12"/>
  <c r="BH7" i="12"/>
  <c r="BH8" i="12"/>
  <c r="BH9" i="12"/>
  <c r="BH10" i="12"/>
  <c r="BH11" i="12"/>
  <c r="BH12" i="12"/>
  <c r="BH5" i="12"/>
  <c r="AY5" i="12"/>
  <c r="AY6" i="12"/>
  <c r="AY7" i="12"/>
  <c r="AY8" i="12"/>
  <c r="AY9" i="12"/>
  <c r="AY10" i="12"/>
  <c r="AY11" i="12"/>
  <c r="AY12" i="12"/>
  <c r="F6" i="12"/>
  <c r="BE5" i="12"/>
  <c r="BE7" i="12"/>
  <c r="BE8" i="12"/>
  <c r="BE9" i="12"/>
  <c r="BE10" i="12"/>
  <c r="AX5" i="12"/>
  <c r="AX6" i="12"/>
  <c r="AX7" i="12"/>
  <c r="AX8" i="12"/>
  <c r="AX10" i="12"/>
  <c r="AX11" i="12"/>
  <c r="AX12" i="12"/>
  <c r="AV5" i="12"/>
  <c r="AV6" i="12"/>
  <c r="AV7" i="12"/>
  <c r="AV8" i="12"/>
  <c r="AV9" i="12"/>
  <c r="AV10" i="12"/>
  <c r="AV11" i="12"/>
  <c r="AV12" i="12"/>
  <c r="BE11" i="12"/>
  <c r="BE12" i="12"/>
  <c r="AT6" i="12"/>
  <c r="AT7" i="12"/>
  <c r="AT8" i="12"/>
  <c r="AT9" i="12"/>
  <c r="AT10" i="12"/>
  <c r="AT11" i="12"/>
  <c r="AT12" i="12"/>
  <c r="AT5" i="12"/>
  <c r="F12" i="12"/>
  <c r="G12" i="12"/>
  <c r="J12" i="12"/>
  <c r="K12" i="12"/>
  <c r="Y12" i="12"/>
  <c r="AB12" i="12"/>
  <c r="AD12" i="12"/>
  <c r="AE12" i="12"/>
  <c r="AF12" i="12"/>
  <c r="AO12" i="12"/>
  <c r="AW12" i="12"/>
  <c r="AZ12" i="12"/>
  <c r="BC12" i="12"/>
  <c r="AD7" i="12"/>
  <c r="G9" i="12"/>
  <c r="AD9" i="12"/>
  <c r="AE7" i="12"/>
  <c r="AE8" i="12"/>
  <c r="AE9" i="12"/>
  <c r="AE10" i="12"/>
  <c r="AE11" i="12"/>
  <c r="AE5" i="12"/>
  <c r="AD8" i="12"/>
  <c r="AD10" i="12"/>
  <c r="AD11" i="12"/>
  <c r="AD5" i="12"/>
  <c r="G6" i="12"/>
  <c r="G7" i="12"/>
  <c r="G8" i="12"/>
  <c r="G10" i="12"/>
  <c r="G11" i="12"/>
  <c r="G5" i="12"/>
  <c r="K5" i="12"/>
  <c r="K8" i="12"/>
  <c r="K10" i="12"/>
  <c r="K11" i="12"/>
  <c r="AF5" i="12"/>
  <c r="AF6" i="12"/>
  <c r="K6" i="12" s="1"/>
  <c r="AF7" i="12"/>
  <c r="K7" i="12" s="1"/>
  <c r="AF8" i="12"/>
  <c r="AF9" i="12"/>
  <c r="K9" i="12" s="1"/>
  <c r="AF10" i="12"/>
  <c r="AF11" i="12"/>
  <c r="AO5" i="12"/>
  <c r="AO6" i="12"/>
  <c r="AO7" i="12"/>
  <c r="AO8" i="12"/>
  <c r="AO9" i="12"/>
  <c r="AO10" i="12"/>
  <c r="AO11" i="12"/>
  <c r="J10" i="12"/>
  <c r="F10" i="12"/>
  <c r="F11" i="12"/>
  <c r="Y11" i="12"/>
  <c r="AW11" i="12" s="1"/>
  <c r="AZ11" i="12"/>
  <c r="BC11" i="12"/>
  <c r="H10" i="12"/>
  <c r="Y10" i="12"/>
  <c r="AZ10" i="12"/>
  <c r="BC10" i="12"/>
  <c r="F8" i="12"/>
  <c r="Y8" i="12"/>
  <c r="AW8" i="12" s="1"/>
  <c r="AZ8" i="12"/>
  <c r="BC8" i="12"/>
  <c r="Y9" i="12"/>
  <c r="AW9" i="12" s="1"/>
  <c r="F9" i="12"/>
  <c r="AZ9" i="12"/>
  <c r="BC6" i="12"/>
  <c r="BC7" i="12"/>
  <c r="BC5" i="12"/>
  <c r="Y7" i="12"/>
  <c r="AW7" i="12" s="1"/>
  <c r="Y6" i="12"/>
  <c r="AW6" i="12" s="1"/>
  <c r="AZ7" i="12"/>
  <c r="F7" i="12"/>
  <c r="AZ6" i="12"/>
  <c r="AZ5" i="12"/>
  <c r="Y5" i="12"/>
  <c r="AW5" i="12" s="1"/>
  <c r="F5" i="12"/>
  <c r="H12" i="12" l="1"/>
  <c r="I12" i="12"/>
  <c r="P12" i="12"/>
  <c r="U12" i="12"/>
  <c r="AB10" i="12"/>
  <c r="AW10" i="12"/>
  <c r="J5" i="12"/>
  <c r="H5" i="12" s="1"/>
  <c r="AB5" i="12"/>
  <c r="J6" i="12"/>
  <c r="H6" i="12" s="1"/>
  <c r="AB6" i="12"/>
  <c r="J7" i="12"/>
  <c r="H7" i="12" s="1"/>
  <c r="AB7" i="12"/>
  <c r="J9" i="12"/>
  <c r="AB9" i="12"/>
  <c r="J8" i="12"/>
  <c r="AB8" i="12"/>
  <c r="J11" i="12"/>
  <c r="AB11" i="12"/>
  <c r="H11" i="12"/>
  <c r="I11" i="12"/>
  <c r="P11" i="12"/>
  <c r="U11" i="12"/>
  <c r="I10" i="12"/>
  <c r="U10" i="12"/>
  <c r="H8" i="12"/>
  <c r="H9" i="12"/>
  <c r="I5" i="12"/>
  <c r="I6" i="12"/>
  <c r="I7" i="12"/>
  <c r="P10" i="12" l="1"/>
  <c r="T12" i="12"/>
  <c r="BB12" i="12"/>
  <c r="BD12" i="12" s="1"/>
  <c r="T11" i="12"/>
  <c r="BB11" i="12"/>
  <c r="T10" i="12"/>
  <c r="BB10" i="12"/>
  <c r="I8" i="12"/>
  <c r="T8" i="12"/>
  <c r="BB8" i="12"/>
  <c r="P8" i="12"/>
  <c r="U8" i="12"/>
  <c r="BD8" i="12" s="1"/>
  <c r="BC9" i="12"/>
  <c r="I9" i="12"/>
  <c r="T9" i="12"/>
  <c r="BB9" i="12"/>
  <c r="P9" i="12"/>
  <c r="U9" i="12"/>
  <c r="T7" i="12"/>
  <c r="T6" i="12"/>
  <c r="T5" i="12"/>
  <c r="BB5" i="12"/>
  <c r="BD11" i="12" l="1"/>
  <c r="BD10" i="12"/>
  <c r="U6" i="12"/>
  <c r="P6" i="12"/>
  <c r="BB6" i="12"/>
  <c r="BE6" i="12" s="1"/>
  <c r="U7" i="12"/>
  <c r="P7" i="12"/>
  <c r="BB7" i="12"/>
  <c r="BD9" i="12"/>
  <c r="U5" i="12"/>
  <c r="BD5" i="12" s="1"/>
  <c r="P5" i="12"/>
  <c r="BD6" i="12" l="1"/>
  <c r="BD7" i="12"/>
</calcChain>
</file>

<file path=xl/sharedStrings.xml><?xml version="1.0" encoding="utf-8"?>
<sst xmlns="http://schemas.openxmlformats.org/spreadsheetml/2006/main" count="178" uniqueCount="98">
  <si>
    <t>© 2025 Sarah Elizabeth Burnette All rights reserved. This spreadsheet is an original work protected by U.S. copyright law. Unauthorized reproduction or distribution is prohibited.</t>
  </si>
  <si>
    <t>* Fees based on North Carolina Division of Motor Vehicles</t>
  </si>
  <si>
    <t>Data</t>
  </si>
  <si>
    <t>KBB/ NADA/ Actual Offers/ iseecars.com Metrics:</t>
  </si>
  <si>
    <t>DEPENDENT ON VEHICLE TYPE</t>
  </si>
  <si>
    <t>Rebate</t>
  </si>
  <si>
    <t>Down Payment</t>
  </si>
  <si>
    <t>APR/ Loan/ Pay Off/ Vehicle Age</t>
  </si>
  <si>
    <t>Credit</t>
  </si>
  <si>
    <t xml:space="preserve">IF TRADING IN: </t>
  </si>
  <si>
    <t>|||||||||||||||||||||||||||||||||||||||||||</t>
  </si>
  <si>
    <t>Vehicle:</t>
  </si>
  <si>
    <t>Dealership Price:</t>
  </si>
  <si>
    <t>Dealership:</t>
  </si>
  <si>
    <t>MSRP:</t>
  </si>
  <si>
    <t>Dealer Under/Over MSRP:</t>
  </si>
  <si>
    <t>% Difference MSRP:</t>
  </si>
  <si>
    <t>Sales Tax:</t>
  </si>
  <si>
    <t>Net Dealership Price with Sales Tax:</t>
  </si>
  <si>
    <t xml:space="preserve">Net No Trade In (Pre - Tax): </t>
  </si>
  <si>
    <t xml:space="preserve">Net with Trade In (Pre - Tax): </t>
  </si>
  <si>
    <t>HUT Tax Exemption?</t>
  </si>
  <si>
    <t>HUT Tax Rate:</t>
  </si>
  <si>
    <t>Admin Fee:</t>
  </si>
  <si>
    <t xml:space="preserve">Term: </t>
  </si>
  <si>
    <t>Monthly Payment:</t>
  </si>
  <si>
    <t>Paying for Admin Fee Out of Pocket? (Y/N):</t>
  </si>
  <si>
    <t>Savings:</t>
  </si>
  <si>
    <t>Non Tax Fees/ Other Fees:</t>
  </si>
  <si>
    <t>New Loan Amount:</t>
  </si>
  <si>
    <t>Total Interest Paid:</t>
  </si>
  <si>
    <t>One Time Title Fee:</t>
  </si>
  <si>
    <t>Registration Fee (For a Vehicle of Type "Car"):</t>
  </si>
  <si>
    <t>Property Tax:</t>
  </si>
  <si>
    <t>DMV Fees Total:</t>
  </si>
  <si>
    <t>Paying for DMV Fees Out of Pocket?</t>
  </si>
  <si>
    <t>TT&amp;L Fees included in Admin Fee? (Y/N)</t>
  </si>
  <si>
    <t>All Possible Additional Fees Total:</t>
  </si>
  <si>
    <t>Trading In?</t>
  </si>
  <si>
    <t>Dealer Offer For Trade In:</t>
  </si>
  <si>
    <t xml:space="preserve">Loan Pay Off: </t>
  </si>
  <si>
    <t>Total To be Applied Off of Net Dealership Price After Pay Off, Rebate, Down Payment</t>
  </si>
  <si>
    <t>Vehicle Trading in:</t>
  </si>
  <si>
    <t>NADA:</t>
  </si>
  <si>
    <t>KBB Selling:</t>
  </si>
  <si>
    <t>KBB Trading:</t>
  </si>
  <si>
    <t xml:space="preserve">Best Pay Off Offer: </t>
  </si>
  <si>
    <t>Best pay Off From:</t>
  </si>
  <si>
    <t>Trade In Vehicle Invoice Fee (iseecars.com):</t>
  </si>
  <si>
    <t>Trade In Vehicle Destination Charge (iseecars.com):</t>
  </si>
  <si>
    <t>% Within KBB Sell/ Trade:</t>
  </si>
  <si>
    <t>Rebate? (Y/N):</t>
  </si>
  <si>
    <t>Rebate Amount:</t>
  </si>
  <si>
    <t>Qualification:</t>
  </si>
  <si>
    <t>Rebate Through:</t>
  </si>
  <si>
    <t>Rebate Applied To:</t>
  </si>
  <si>
    <t>Down Payment:</t>
  </si>
  <si>
    <t>Suggested Down Payment:</t>
  </si>
  <si>
    <t>Total Out of Pocket (If Paying Fees):</t>
  </si>
  <si>
    <t>Down Payment % of Sale Price:</t>
  </si>
  <si>
    <t xml:space="preserve"> Range of APR Dependent on Current Down Payment:</t>
  </si>
  <si>
    <t>APR (Monthly)</t>
  </si>
  <si>
    <t>Annual Interest Rate/ APR:</t>
  </si>
  <si>
    <t xml:space="preserve">New Loan: </t>
  </si>
  <si>
    <t xml:space="preserve">Current Loan: </t>
  </si>
  <si>
    <t>End of Term Total Once Car is Paid Off:</t>
  </si>
  <si>
    <t xml:space="preserve">New Loan vs Old Loan: </t>
  </si>
  <si>
    <t>New or Used Vehicle?</t>
  </si>
  <si>
    <t>Credit Score:</t>
  </si>
  <si>
    <t xml:space="preserve"> APR Dependent on Credit Score and Vehicle Age:</t>
  </si>
  <si>
    <t>Credit Score Rating:</t>
  </si>
  <si>
    <t>2026 Honda Civic LX</t>
  </si>
  <si>
    <t>Reggie Jackson Honda</t>
  </si>
  <si>
    <t>N/A</t>
  </si>
  <si>
    <t>Y</t>
  </si>
  <si>
    <t>N</t>
  </si>
  <si>
    <t>College Grad</t>
  </si>
  <si>
    <t>Honda Finance</t>
  </si>
  <si>
    <t>Used</t>
  </si>
  <si>
    <t>2025 Hyundai Tucson SE</t>
  </si>
  <si>
    <t>Deacon Jones Hyundai</t>
  </si>
  <si>
    <t>2019 Toyota Camry LE</t>
  </si>
  <si>
    <t>New</t>
  </si>
  <si>
    <t xml:space="preserve">2026 Toyota Corolla LE </t>
  </si>
  <si>
    <t>Fred Anderson Toyota</t>
  </si>
  <si>
    <t>College-Enrolled</t>
  </si>
  <si>
    <t>Southeast Toyota Finance</t>
  </si>
  <si>
    <t>2024 Honda Accord</t>
  </si>
  <si>
    <t>Honda Auto Park</t>
  </si>
  <si>
    <t>Honda Loyalty</t>
  </si>
  <si>
    <t xml:space="preserve">2018 Honda CR-V LX </t>
  </si>
  <si>
    <t>Leith Honda Auto Park</t>
  </si>
  <si>
    <t>2025 Hyundai Venue SEL</t>
  </si>
  <si>
    <t>Honda Loyalty/ Conquest</t>
  </si>
  <si>
    <t xml:space="preserve">2026 Toyota Camry LE </t>
  </si>
  <si>
    <t>Flow Toyota Statesville</t>
  </si>
  <si>
    <t>2026 Honda HR-V LX</t>
  </si>
  <si>
    <t>2025 Toyota Tacoma 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</si>
</sst>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mmm\ yyyy"/>
    <numFmt numFmtId="165" formatCode="0.0%"/>
    <numFmt numFmtId="166" formatCode="&quot;$&quot;#,##0.00"/>
    <numFmt numFmtId="167" formatCode="0.000000%"/>
  </numFmts>
  <fonts count="17">
    <font>
      <sz val="11"/>
      <color theme="1" tint="0.24994659260841701"/>
      <name val="Gill Sans MT"/>
      <family val="2"/>
      <scheme val="minor"/>
    </font>
    <font>
      <sz val="11"/>
      <color theme="1"/>
      <name val="Gill Sans MT"/>
      <family val="2"/>
      <scheme val="minor"/>
    </font>
    <font>
      <sz val="11"/>
      <color theme="9" tint="-0.499984740745262"/>
      <name val="Gill Sans MT"/>
      <family val="2"/>
      <scheme val="minor"/>
    </font>
    <font>
      <sz val="11"/>
      <name val="Gill Sans MT"/>
      <family val="2"/>
      <scheme val="minor"/>
    </font>
    <font>
      <sz val="11"/>
      <color rgb="FF6C0000"/>
      <name val="Gill Sans MT"/>
      <family val="2"/>
      <scheme val="minor"/>
    </font>
    <font>
      <sz val="36"/>
      <color theme="3"/>
      <name val="Gill Sans MT"/>
      <family val="2"/>
      <scheme val="major"/>
    </font>
    <font>
      <sz val="11"/>
      <color theme="3"/>
      <name val="Gill Sans MT"/>
      <family val="2"/>
      <scheme val="major"/>
    </font>
    <font>
      <sz val="11"/>
      <color theme="1" tint="4.9989318521683403E-2"/>
      <name val="Gill Sans MT"/>
      <family val="2"/>
      <scheme val="major"/>
    </font>
    <font>
      <sz val="11"/>
      <color theme="2"/>
      <name val="Gill Sans MT"/>
      <family val="2"/>
      <scheme val="minor"/>
    </font>
    <font>
      <sz val="11"/>
      <color theme="1" tint="0.24994659260841701"/>
      <name val="Gill Sans MT"/>
      <family val="2"/>
      <scheme val="minor"/>
    </font>
    <font>
      <b/>
      <sz val="11"/>
      <name val="Gill Sans MT"/>
      <family val="2"/>
      <scheme val="minor"/>
    </font>
    <font>
      <sz val="12"/>
      <color theme="0"/>
      <name val="Gill Sans MT"/>
      <family val="2"/>
      <scheme val="minor"/>
    </font>
    <font>
      <b/>
      <sz val="14"/>
      <color rgb="FFFFFF00"/>
      <name val="Gill Sans MT"/>
      <scheme val="minor"/>
    </font>
    <font>
      <sz val="11"/>
      <color rgb="FFFFFF00"/>
      <name val="Gill Sans MT"/>
      <family val="2"/>
      <scheme val="minor"/>
    </font>
    <font>
      <b/>
      <sz val="11"/>
      <color rgb="FFFFFF00"/>
      <name val="Gill Sans MT"/>
      <scheme val="minor"/>
    </font>
    <font>
      <b/>
      <sz val="11"/>
      <color rgb="FFC00000"/>
      <name val="Gill Sans MT"/>
      <family val="2"/>
      <scheme val="minor"/>
    </font>
    <font>
      <b/>
      <sz val="11"/>
      <color theme="1"/>
      <name val="Gill Sans MT"/>
      <family val="2"/>
      <scheme val="minor"/>
    </font>
  </fonts>
  <fills count="21">
    <fill>
      <patternFill patternType="none"/>
    </fill>
    <fill>
      <patternFill patternType="gray125"/>
    </fill>
    <fill>
      <patternFill patternType="solid">
        <fgColor theme="7" tint="0.39997558519241921"/>
        <bgColor indexed="65"/>
      </patternFill>
    </fill>
    <fill>
      <patternFill patternType="solid">
        <fgColor theme="0"/>
        <bgColor indexed="64"/>
      </patternFill>
    </fill>
    <fill>
      <patternFill patternType="solid">
        <fgColor theme="7" tint="0.39994506668294322"/>
        <bgColor indexed="64"/>
      </patternFill>
    </fill>
    <fill>
      <patternFill patternType="solid">
        <fgColor rgb="FFF2F2F2"/>
      </patternFill>
    </fill>
    <fill>
      <patternFill patternType="solid">
        <fgColor theme="3" tint="0.79998168889431442"/>
        <bgColor indexed="64"/>
      </patternFill>
    </fill>
    <fill>
      <patternFill patternType="solid">
        <fgColor theme="4"/>
        <bgColor indexed="64"/>
      </patternFill>
    </fill>
    <fill>
      <patternFill patternType="solid">
        <fgColor theme="3" tint="0.59999389629810485"/>
        <bgColor indexed="64"/>
      </patternFill>
    </fill>
    <fill>
      <patternFill patternType="solid">
        <fgColor theme="5" tint="0.79998168889431442"/>
        <bgColor indexed="64"/>
      </patternFill>
    </fill>
    <fill>
      <patternFill patternType="solid">
        <fgColor rgb="FFADF7C0"/>
        <bgColor indexed="64"/>
      </patternFill>
    </fill>
    <fill>
      <patternFill patternType="solid">
        <fgColor rgb="FFDCE5FA"/>
        <bgColor indexed="64"/>
      </patternFill>
    </fill>
    <fill>
      <patternFill patternType="solid">
        <fgColor rgb="FFD4FCFC"/>
        <bgColor indexed="64"/>
      </patternFill>
    </fill>
    <fill>
      <patternFill patternType="solid">
        <fgColor theme="4" tint="0.79998168889431442"/>
        <bgColor indexed="64"/>
      </patternFill>
    </fill>
    <fill>
      <patternFill patternType="solid">
        <fgColor rgb="FFFAEDC8"/>
        <bgColor indexed="64"/>
      </patternFill>
    </fill>
    <fill>
      <patternFill patternType="solid">
        <fgColor rgb="FFE2FADC"/>
        <bgColor indexed="64"/>
      </patternFill>
    </fill>
    <fill>
      <patternFill patternType="solid">
        <fgColor rgb="FFF9EDFC"/>
        <bgColor indexed="64"/>
      </patternFill>
    </fill>
    <fill>
      <patternFill patternType="solid">
        <fgColor rgb="FFF4EDFF"/>
        <bgColor indexed="64"/>
      </patternFill>
    </fill>
    <fill>
      <patternFill patternType="solid">
        <fgColor rgb="FFE1EFFA"/>
        <bgColor indexed="64"/>
      </patternFill>
    </fill>
    <fill>
      <patternFill patternType="solid">
        <fgColor rgb="FFE6F6F7"/>
        <bgColor indexed="64"/>
      </patternFill>
    </fill>
    <fill>
      <patternFill patternType="solid">
        <fgColor rgb="FFF3DCFC"/>
        <bgColor indexed="64"/>
      </patternFill>
    </fill>
  </fills>
  <borders count="15">
    <border>
      <left/>
      <right/>
      <top/>
      <bottom/>
      <diagonal/>
    </border>
    <border>
      <left style="thin">
        <color rgb="FF3F3F3F"/>
      </left>
      <right style="thin">
        <color rgb="FF3F3F3F"/>
      </right>
      <top style="thin">
        <color rgb="FF3F3F3F"/>
      </top>
      <bottom style="thin">
        <color rgb="FF3F3F3F"/>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s>
  <cellStyleXfs count="14">
    <xf numFmtId="40" fontId="0" fillId="0" borderId="0">
      <alignment horizontal="center" vertical="center" wrapText="1"/>
    </xf>
    <xf numFmtId="0" fontId="5" fillId="0" borderId="0" applyNumberFormat="0" applyFill="0" applyBorder="0" applyAlignment="0" applyProtection="0"/>
    <xf numFmtId="0" fontId="6" fillId="0" borderId="0" applyNumberFormat="0" applyFill="0" applyBorder="0" applyAlignment="0" applyProtection="0"/>
    <xf numFmtId="0" fontId="2" fillId="2" borderId="0" applyNumberFormat="0" applyBorder="0" applyAlignment="0" applyProtection="0"/>
    <xf numFmtId="0" fontId="11" fillId="0" borderId="0" applyNumberFormat="0" applyFill="0" applyAlignment="0" applyProtection="0"/>
    <xf numFmtId="0" fontId="7" fillId="4" borderId="0" applyBorder="0" applyProtection="0">
      <alignment horizontal="left" vertical="center" indent="1"/>
    </xf>
    <xf numFmtId="0" fontId="7" fillId="4" borderId="0" applyNumberFormat="0" applyBorder="0" applyProtection="0">
      <alignment horizontal="left" vertical="center"/>
    </xf>
    <xf numFmtId="0" fontId="1" fillId="0" borderId="0" applyNumberFormat="0" applyFill="0" applyAlignment="0" applyProtection="0"/>
    <xf numFmtId="0" fontId="4" fillId="0" borderId="0" applyNumberFormat="0" applyFill="0" applyBorder="0" applyAlignment="0" applyProtection="0"/>
    <xf numFmtId="40" fontId="1" fillId="0" borderId="0" applyFont="0" applyFill="0" applyBorder="0" applyProtection="0">
      <alignment horizontal="right"/>
    </xf>
    <xf numFmtId="165" fontId="1" fillId="0" borderId="0" applyFont="0" applyFill="0" applyBorder="0" applyProtection="0">
      <alignment horizontal="right"/>
    </xf>
    <xf numFmtId="164" fontId="6" fillId="3" borderId="0" applyFill="0" applyBorder="0">
      <alignment horizontal="right"/>
    </xf>
    <xf numFmtId="0" fontId="9" fillId="0" borderId="0" applyNumberFormat="0" applyProtection="0">
      <alignment horizontal="left" vertical="center" indent="1"/>
    </xf>
    <xf numFmtId="0" fontId="10" fillId="5" borderId="1" applyNumberFormat="0" applyFill="0" applyBorder="0" applyAlignment="0" applyProtection="0"/>
  </cellStyleXfs>
  <cellXfs count="85">
    <xf numFmtId="40" fontId="0" fillId="0" borderId="0" xfId="0">
      <alignment horizontal="center" vertical="center" wrapText="1"/>
    </xf>
    <xf numFmtId="40" fontId="8" fillId="0" borderId="0" xfId="0" applyFont="1">
      <alignment horizontal="center" vertical="center" wrapText="1"/>
    </xf>
    <xf numFmtId="0" fontId="5" fillId="0" borderId="0" xfId="1"/>
    <xf numFmtId="40" fontId="11" fillId="0" borderId="0" xfId="4" applyNumberFormat="1" applyAlignment="1">
      <alignment horizontal="center" vertical="center" wrapText="1"/>
    </xf>
    <xf numFmtId="40" fontId="11" fillId="0" borderId="0" xfId="4" applyNumberFormat="1" applyFill="1" applyAlignment="1">
      <alignment horizontal="left" vertical="center" indent="1"/>
    </xf>
    <xf numFmtId="40" fontId="11" fillId="0" borderId="0" xfId="4" applyNumberFormat="1" applyFill="1" applyAlignment="1">
      <alignment horizontal="center" vertical="center" wrapText="1"/>
    </xf>
    <xf numFmtId="10" fontId="0" fillId="0" borderId="0" xfId="0" applyNumberFormat="1">
      <alignment horizontal="center" vertical="center" wrapText="1"/>
    </xf>
    <xf numFmtId="10" fontId="3" fillId="7" borderId="0" xfId="0" applyNumberFormat="1" applyFont="1" applyFill="1">
      <alignment horizontal="center" vertical="center" wrapText="1"/>
    </xf>
    <xf numFmtId="166" fontId="3" fillId="7" borderId="0" xfId="0" applyNumberFormat="1" applyFont="1" applyFill="1">
      <alignment horizontal="center" vertical="center" wrapText="1"/>
    </xf>
    <xf numFmtId="166" fontId="3" fillId="7" borderId="0" xfId="4" applyNumberFormat="1" applyFont="1" applyFill="1" applyAlignment="1">
      <alignment horizontal="center" vertical="center" wrapText="1"/>
    </xf>
    <xf numFmtId="40" fontId="12" fillId="7" borderId="0" xfId="0" applyFont="1" applyFill="1">
      <alignment horizontal="center" vertical="center" wrapText="1"/>
    </xf>
    <xf numFmtId="40" fontId="13" fillId="7" borderId="0" xfId="0" applyFont="1" applyFill="1">
      <alignment horizontal="center" vertical="center" wrapText="1"/>
    </xf>
    <xf numFmtId="40" fontId="13" fillId="8" borderId="0" xfId="0" applyFont="1" applyFill="1">
      <alignment horizontal="center" vertical="center" wrapText="1"/>
    </xf>
    <xf numFmtId="166" fontId="3" fillId="8" borderId="0" xfId="0" applyNumberFormat="1" applyFont="1" applyFill="1">
      <alignment horizontal="center" vertical="center" wrapText="1"/>
    </xf>
    <xf numFmtId="40" fontId="14" fillId="8" borderId="0" xfId="0" applyFont="1" applyFill="1">
      <alignment horizontal="center" vertical="center" wrapText="1"/>
    </xf>
    <xf numFmtId="166" fontId="3" fillId="12" borderId="0" xfId="0" applyNumberFormat="1" applyFont="1" applyFill="1">
      <alignment horizontal="center" vertical="center" wrapText="1"/>
    </xf>
    <xf numFmtId="166" fontId="3" fillId="16" borderId="2" xfId="12" applyNumberFormat="1" applyFont="1" applyFill="1" applyBorder="1">
      <alignment horizontal="left" vertical="center" indent="1"/>
    </xf>
    <xf numFmtId="38" fontId="9" fillId="13" borderId="2" xfId="12" applyNumberFormat="1" applyFill="1" applyBorder="1">
      <alignment horizontal="left" vertical="center" indent="1"/>
    </xf>
    <xf numFmtId="166" fontId="3" fillId="14" borderId="4" xfId="12" applyNumberFormat="1" applyFont="1" applyFill="1" applyBorder="1">
      <alignment horizontal="left" vertical="center" indent="1"/>
    </xf>
    <xf numFmtId="166" fontId="3" fillId="14" borderId="3" xfId="12" applyNumberFormat="1" applyFont="1" applyFill="1" applyBorder="1">
      <alignment horizontal="left" vertical="center" indent="1"/>
    </xf>
    <xf numFmtId="166" fontId="3" fillId="8" borderId="2" xfId="12" applyNumberFormat="1" applyFont="1" applyFill="1" applyBorder="1">
      <alignment horizontal="left" vertical="center" indent="1"/>
    </xf>
    <xf numFmtId="166" fontId="3" fillId="8" borderId="0" xfId="12" applyNumberFormat="1" applyFont="1" applyFill="1">
      <alignment horizontal="left" vertical="center" indent="1"/>
    </xf>
    <xf numFmtId="38" fontId="9" fillId="13" borderId="0" xfId="12" applyNumberFormat="1" applyFill="1">
      <alignment horizontal="left" vertical="center" indent="1"/>
    </xf>
    <xf numFmtId="166" fontId="3" fillId="16" borderId="0" xfId="12" applyNumberFormat="1" applyFont="1" applyFill="1">
      <alignment horizontal="left" vertical="center" indent="1"/>
    </xf>
    <xf numFmtId="49" fontId="1" fillId="13" borderId="2" xfId="0" applyNumberFormat="1" applyFont="1" applyFill="1" applyBorder="1">
      <alignment horizontal="center" vertical="center" wrapText="1"/>
    </xf>
    <xf numFmtId="166" fontId="3" fillId="13" borderId="2" xfId="0" applyNumberFormat="1" applyFont="1" applyFill="1" applyBorder="1">
      <alignment horizontal="center" vertical="center" wrapText="1"/>
    </xf>
    <xf numFmtId="49" fontId="1" fillId="13" borderId="0" xfId="0" applyNumberFormat="1" applyFont="1" applyFill="1">
      <alignment horizontal="center" vertical="center" wrapText="1"/>
    </xf>
    <xf numFmtId="166" fontId="3" fillId="13" borderId="0" xfId="0" applyNumberFormat="1" applyFont="1" applyFill="1">
      <alignment horizontal="center" vertical="center" wrapText="1"/>
    </xf>
    <xf numFmtId="166" fontId="3" fillId="12" borderId="2" xfId="0" applyNumberFormat="1" applyFont="1" applyFill="1" applyBorder="1">
      <alignment horizontal="center" vertical="center" wrapText="1"/>
    </xf>
    <xf numFmtId="166" fontId="3" fillId="8" borderId="2" xfId="0" applyNumberFormat="1" applyFont="1" applyFill="1" applyBorder="1">
      <alignment horizontal="center" vertical="center" wrapText="1"/>
    </xf>
    <xf numFmtId="166" fontId="3" fillId="14" borderId="2" xfId="0" applyNumberFormat="1" applyFont="1" applyFill="1" applyBorder="1">
      <alignment horizontal="center" vertical="center" wrapText="1"/>
    </xf>
    <xf numFmtId="166" fontId="3" fillId="14" borderId="0" xfId="0" applyNumberFormat="1" applyFont="1" applyFill="1">
      <alignment horizontal="center" vertical="center" wrapText="1"/>
    </xf>
    <xf numFmtId="40" fontId="11" fillId="8" borderId="2" xfId="4" applyNumberFormat="1" applyFill="1" applyBorder="1" applyAlignment="1">
      <alignment horizontal="center" vertical="center" wrapText="1"/>
    </xf>
    <xf numFmtId="40" fontId="12" fillId="8" borderId="0" xfId="0" applyFont="1" applyFill="1">
      <alignment horizontal="center" vertical="center" wrapText="1"/>
    </xf>
    <xf numFmtId="166" fontId="3" fillId="15" borderId="4" xfId="12" applyNumberFormat="1" applyFont="1" applyFill="1" applyBorder="1">
      <alignment horizontal="left" vertical="center" indent="1"/>
    </xf>
    <xf numFmtId="166" fontId="3" fillId="15" borderId="3" xfId="12" applyNumberFormat="1" applyFont="1" applyFill="1" applyBorder="1">
      <alignment horizontal="left" vertical="center" indent="1"/>
    </xf>
    <xf numFmtId="166" fontId="3" fillId="10" borderId="5" xfId="0" applyNumberFormat="1" applyFont="1" applyFill="1" applyBorder="1">
      <alignment horizontal="center" vertical="center" wrapText="1"/>
    </xf>
    <xf numFmtId="166" fontId="3" fillId="10" borderId="4" xfId="0" applyNumberFormat="1" applyFont="1" applyFill="1" applyBorder="1">
      <alignment horizontal="center" vertical="center" wrapText="1"/>
    </xf>
    <xf numFmtId="167" fontId="3" fillId="9" borderId="5" xfId="4" applyNumberFormat="1" applyFont="1" applyFill="1" applyBorder="1" applyAlignment="1">
      <alignment horizontal="center" vertical="center" wrapText="1"/>
    </xf>
    <xf numFmtId="167" fontId="3" fillId="9" borderId="4" xfId="0" applyNumberFormat="1" applyFont="1" applyFill="1" applyBorder="1">
      <alignment horizontal="center" vertical="center" wrapText="1"/>
    </xf>
    <xf numFmtId="40" fontId="11" fillId="7" borderId="4" xfId="4" applyNumberFormat="1" applyFill="1" applyBorder="1" applyAlignment="1">
      <alignment horizontal="center" vertical="center" wrapText="1"/>
    </xf>
    <xf numFmtId="40" fontId="11" fillId="7" borderId="7" xfId="4" applyNumberFormat="1" applyFill="1" applyBorder="1" applyAlignment="1">
      <alignment horizontal="center" vertical="center" wrapText="1"/>
    </xf>
    <xf numFmtId="10" fontId="3" fillId="13" borderId="0" xfId="0" applyNumberFormat="1" applyFont="1" applyFill="1">
      <alignment horizontal="center" vertical="center" wrapText="1"/>
    </xf>
    <xf numFmtId="166" fontId="15" fillId="8" borderId="2" xfId="0" applyNumberFormat="1" applyFont="1" applyFill="1" applyBorder="1">
      <alignment horizontal="center" vertical="center" wrapText="1"/>
    </xf>
    <xf numFmtId="166" fontId="15" fillId="8" borderId="0" xfId="0" applyNumberFormat="1" applyFont="1" applyFill="1">
      <alignment horizontal="center" vertical="center" wrapText="1"/>
    </xf>
    <xf numFmtId="40" fontId="3" fillId="11" borderId="9" xfId="0" applyFont="1" applyFill="1" applyBorder="1">
      <alignment horizontal="center" vertical="center" wrapText="1"/>
    </xf>
    <xf numFmtId="10" fontId="3" fillId="0" borderId="7" xfId="12" applyNumberFormat="1" applyFont="1" applyBorder="1">
      <alignment horizontal="left" vertical="center" indent="1"/>
    </xf>
    <xf numFmtId="166" fontId="3" fillId="0" borderId="6" xfId="12" applyNumberFormat="1" applyFont="1" applyBorder="1">
      <alignment horizontal="left" vertical="center" indent="1"/>
    </xf>
    <xf numFmtId="166" fontId="3" fillId="0" borderId="10" xfId="12" applyNumberFormat="1" applyFont="1" applyBorder="1">
      <alignment horizontal="left" vertical="center" indent="1"/>
    </xf>
    <xf numFmtId="40" fontId="3" fillId="11" borderId="7" xfId="0" applyFont="1" applyFill="1" applyBorder="1">
      <alignment horizontal="center" vertical="center" wrapText="1"/>
    </xf>
    <xf numFmtId="40" fontId="0" fillId="17" borderId="0" xfId="0" applyFill="1">
      <alignment horizontal="center" vertical="center" wrapText="1"/>
    </xf>
    <xf numFmtId="40" fontId="3" fillId="6" borderId="4" xfId="12" applyNumberFormat="1" applyFont="1" applyFill="1" applyBorder="1">
      <alignment horizontal="left" vertical="center" indent="1"/>
    </xf>
    <xf numFmtId="40" fontId="11" fillId="8" borderId="0" xfId="4" applyNumberFormat="1" applyFill="1" applyAlignment="1">
      <alignment horizontal="center" vertical="center" wrapText="1"/>
    </xf>
    <xf numFmtId="2" fontId="3" fillId="8" borderId="0" xfId="0" applyNumberFormat="1" applyFont="1" applyFill="1">
      <alignment horizontal="center" vertical="center" wrapText="1"/>
    </xf>
    <xf numFmtId="40" fontId="11" fillId="7" borderId="8" xfId="4" applyNumberFormat="1" applyFill="1" applyBorder="1" applyAlignment="1">
      <alignment horizontal="center" vertical="center" wrapText="1"/>
    </xf>
    <xf numFmtId="40" fontId="3" fillId="11" borderId="2" xfId="0" applyFont="1" applyFill="1" applyBorder="1">
      <alignment horizontal="center" vertical="center" wrapText="1"/>
    </xf>
    <xf numFmtId="40" fontId="15" fillId="11" borderId="11" xfId="0" applyFont="1" applyFill="1" applyBorder="1">
      <alignment horizontal="center" vertical="center" wrapText="1"/>
    </xf>
    <xf numFmtId="166" fontId="3" fillId="10" borderId="3" xfId="0" applyNumberFormat="1" applyFont="1" applyFill="1" applyBorder="1">
      <alignment horizontal="center" vertical="center" wrapText="1"/>
    </xf>
    <xf numFmtId="167" fontId="3" fillId="9" borderId="3" xfId="0" applyNumberFormat="1" applyFont="1" applyFill="1" applyBorder="1">
      <alignment horizontal="center" vertical="center" wrapText="1"/>
    </xf>
    <xf numFmtId="167" fontId="3" fillId="9" borderId="12" xfId="0" applyNumberFormat="1" applyFont="1" applyFill="1" applyBorder="1">
      <alignment horizontal="center" vertical="center" wrapText="1"/>
    </xf>
    <xf numFmtId="166" fontId="16" fillId="8" borderId="2" xfId="4" applyNumberFormat="1" applyFont="1" applyFill="1" applyBorder="1" applyAlignment="1">
      <alignment horizontal="center" vertical="center" wrapText="1"/>
    </xf>
    <xf numFmtId="166" fontId="16" fillId="8" borderId="0" xfId="4" applyNumberFormat="1" applyFont="1" applyFill="1" applyAlignment="1">
      <alignment horizontal="center" vertical="center" wrapText="1"/>
    </xf>
    <xf numFmtId="10" fontId="10" fillId="17" borderId="4" xfId="13" applyNumberFormat="1" applyFill="1" applyBorder="1" applyAlignment="1">
      <alignment horizontal="center" vertical="center" wrapText="1"/>
    </xf>
    <xf numFmtId="166" fontId="3" fillId="10" borderId="12" xfId="0" applyNumberFormat="1" applyFont="1" applyFill="1" applyBorder="1">
      <alignment horizontal="center" vertical="center" wrapText="1"/>
    </xf>
    <xf numFmtId="40" fontId="0" fillId="14" borderId="0" xfId="0" applyFill="1">
      <alignment horizontal="center" vertical="center" wrapText="1"/>
    </xf>
    <xf numFmtId="40" fontId="0" fillId="16" borderId="0" xfId="0" applyFill="1">
      <alignment horizontal="center" vertical="center" wrapText="1"/>
    </xf>
    <xf numFmtId="40" fontId="0" fillId="15" borderId="0" xfId="0" applyFill="1">
      <alignment horizontal="center" vertical="center" wrapText="1"/>
    </xf>
    <xf numFmtId="40" fontId="0" fillId="19" borderId="0" xfId="0" applyFill="1">
      <alignment horizontal="center" vertical="center" wrapText="1"/>
    </xf>
    <xf numFmtId="40" fontId="0" fillId="16" borderId="5" xfId="0" applyFill="1" applyBorder="1" applyAlignment="1">
      <alignment horizontal="left" wrapText="1"/>
    </xf>
    <xf numFmtId="40" fontId="0" fillId="14" borderId="5" xfId="0" applyFill="1" applyBorder="1" applyAlignment="1">
      <alignment horizontal="left" wrapText="1"/>
    </xf>
    <xf numFmtId="40" fontId="0" fillId="19" borderId="5" xfId="0" applyFill="1" applyBorder="1" applyAlignment="1">
      <alignment wrapText="1"/>
    </xf>
    <xf numFmtId="40" fontId="0" fillId="15" borderId="5" xfId="0" applyFill="1" applyBorder="1" applyAlignment="1">
      <alignment horizontal="left" wrapText="1"/>
    </xf>
    <xf numFmtId="40" fontId="0" fillId="18" borderId="0" xfId="0" applyFill="1">
      <alignment horizontal="center" vertical="center" wrapText="1"/>
    </xf>
    <xf numFmtId="40" fontId="0" fillId="20" borderId="0" xfId="0" applyFill="1">
      <alignment horizontal="center" vertical="center" wrapText="1"/>
    </xf>
    <xf numFmtId="40" fontId="0" fillId="18" borderId="5" xfId="0" applyFill="1" applyBorder="1" applyAlignment="1">
      <alignment horizontal="left" wrapText="1"/>
    </xf>
    <xf numFmtId="0" fontId="1" fillId="11" borderId="13" xfId="0" applyNumberFormat="1" applyFont="1" applyFill="1" applyBorder="1">
      <alignment horizontal="center" vertical="center" wrapText="1"/>
    </xf>
    <xf numFmtId="0" fontId="1" fillId="11" borderId="0" xfId="0" applyNumberFormat="1" applyFont="1" applyFill="1">
      <alignment horizontal="center" vertical="center" wrapText="1"/>
    </xf>
    <xf numFmtId="10" fontId="3" fillId="17" borderId="14" xfId="0" applyNumberFormat="1" applyFont="1" applyFill="1" applyBorder="1">
      <alignment horizontal="center" vertical="center" wrapText="1"/>
    </xf>
    <xf numFmtId="10" fontId="3" fillId="17" borderId="3" xfId="0" applyNumberFormat="1" applyFont="1" applyFill="1" applyBorder="1">
      <alignment horizontal="center" vertical="center" wrapText="1"/>
    </xf>
    <xf numFmtId="10" fontId="3" fillId="17" borderId="8" xfId="0" applyNumberFormat="1" applyFont="1" applyFill="1" applyBorder="1">
      <alignment horizontal="center" vertical="center" wrapText="1"/>
    </xf>
    <xf numFmtId="10" fontId="3" fillId="18" borderId="9" xfId="13" applyNumberFormat="1" applyFont="1" applyFill="1" applyBorder="1" applyAlignment="1">
      <alignment horizontal="center" vertical="center" wrapText="1"/>
    </xf>
    <xf numFmtId="10" fontId="3" fillId="18" borderId="7" xfId="13" applyNumberFormat="1" applyFont="1" applyFill="1" applyBorder="1" applyAlignment="1">
      <alignment horizontal="center" vertical="center" wrapText="1"/>
    </xf>
    <xf numFmtId="10" fontId="3" fillId="18" borderId="2" xfId="13" applyNumberFormat="1" applyFont="1" applyFill="1" applyBorder="1" applyAlignment="1">
      <alignment horizontal="center" vertical="center" wrapText="1"/>
    </xf>
    <xf numFmtId="40" fontId="1" fillId="11" borderId="0" xfId="0" applyFont="1" applyFill="1">
      <alignment horizontal="center" vertical="center" wrapText="1"/>
    </xf>
    <xf numFmtId="0" fontId="1" fillId="19" borderId="0" xfId="0" applyNumberFormat="1" applyFont="1" applyFill="1">
      <alignment horizontal="center" vertical="center" wrapText="1"/>
    </xf>
  </cellXfs>
  <cellStyles count="14">
    <cellStyle name="60% - Accent4" xfId="3" builtinId="44" customBuiltin="1"/>
    <cellStyle name="Comma" xfId="9" builtinId="3" customBuiltin="1"/>
    <cellStyle name="Date" xfId="11" xr:uid="{00000000-0005-0000-0000-000003000000}"/>
    <cellStyle name="Heading 1" xfId="4" builtinId="16" customBuiltin="1"/>
    <cellStyle name="Heading 2" xfId="5" builtinId="17" customBuiltin="1"/>
    <cellStyle name="Heading 3" xfId="6" builtinId="18" customBuiltin="1"/>
    <cellStyle name="Heading 4" xfId="2" builtinId="19" customBuiltin="1"/>
    <cellStyle name="Input" xfId="12" builtinId="20" customBuiltin="1"/>
    <cellStyle name="Normal" xfId="0" builtinId="0" customBuiltin="1"/>
    <cellStyle name="Output" xfId="13" builtinId="21" customBuiltin="1"/>
    <cellStyle name="Percent" xfId="10" builtinId="5" customBuiltin="1"/>
    <cellStyle name="Title" xfId="1" builtinId="15" customBuiltin="1"/>
    <cellStyle name="Total" xfId="7" builtinId="25" customBuiltin="1"/>
    <cellStyle name="Warning Text" xfId="8" builtinId="11" customBuiltin="1"/>
  </cellStyles>
  <dxfs count="151">
    <dxf>
      <font>
        <b val="0"/>
        <i val="0"/>
        <strike val="0"/>
        <condense val="0"/>
        <extend val="0"/>
        <outline val="0"/>
        <shadow val="0"/>
        <u val="none"/>
        <vertAlign val="baseline"/>
        <sz val="11"/>
        <color theme="1"/>
        <name val="Gill Sans MT"/>
        <family val="2"/>
        <scheme val="minor"/>
      </font>
      <numFmt numFmtId="0" formatCode="General"/>
      <fill>
        <patternFill patternType="solid">
          <fgColor indexed="64"/>
          <bgColor rgb="FFDCE5FA"/>
        </patternFill>
      </fill>
    </dxf>
    <dxf>
      <font>
        <b val="0"/>
        <i val="0"/>
        <strike val="0"/>
        <condense val="0"/>
        <extend val="0"/>
        <outline val="0"/>
        <shadow val="0"/>
        <u val="none"/>
        <vertAlign val="baseline"/>
        <sz val="11"/>
        <color auto="1"/>
        <name val="Gill Sans MT"/>
        <family val="2"/>
        <scheme val="minor"/>
      </font>
    </dxf>
    <dxf>
      <font>
        <b val="0"/>
        <i val="0"/>
        <strike val="0"/>
        <condense val="0"/>
        <extend val="0"/>
        <outline val="0"/>
        <shadow val="0"/>
        <u val="none"/>
        <vertAlign val="baseline"/>
        <sz val="11"/>
        <color theme="1"/>
        <name val="Gill Sans MT"/>
        <family val="2"/>
        <scheme val="minor"/>
      </font>
      <numFmt numFmtId="14" formatCode="0.00%"/>
      <fill>
        <patternFill patternType="solid">
          <fgColor indexed="64"/>
          <bgColor rgb="FFE1EFFA"/>
        </patternFill>
      </fill>
      <alignment horizontal="center" vertical="center" textRotation="0" wrapText="1" indent="0" justifyLastLine="0" shrinkToFit="0" readingOrder="0"/>
      <border diagonalUp="0" diagonalDown="0">
        <left/>
        <right/>
        <top/>
        <bottom style="thin">
          <color rgb="FF000000"/>
        </bottom>
        <vertical/>
        <horizontal/>
      </border>
    </dxf>
    <dxf>
      <font>
        <b val="0"/>
        <i val="0"/>
        <strike val="0"/>
        <condense val="0"/>
        <extend val="0"/>
        <outline val="0"/>
        <shadow val="0"/>
        <u val="none"/>
        <vertAlign val="baseline"/>
        <sz val="11"/>
        <color auto="1"/>
        <name val="Gill Sans MT"/>
        <family val="2"/>
        <scheme val="minor"/>
      </font>
    </dxf>
    <dxf>
      <font>
        <b val="0"/>
        <i val="0"/>
        <strike val="0"/>
        <condense val="0"/>
        <extend val="0"/>
        <outline val="0"/>
        <shadow val="0"/>
        <u val="none"/>
        <vertAlign val="baseline"/>
        <sz val="11"/>
        <color rgb="FFC00000"/>
        <name val="Gill Sans MT"/>
        <family val="2"/>
        <scheme val="minor"/>
      </font>
      <fill>
        <patternFill patternType="solid">
          <fgColor indexed="64"/>
          <bgColor rgb="FFE6F6F7"/>
        </patternFill>
      </fill>
    </dxf>
    <dxf>
      <font>
        <b val="0"/>
        <i val="0"/>
        <strike val="0"/>
        <condense val="0"/>
        <extend val="0"/>
        <outline val="0"/>
        <shadow val="0"/>
        <u val="none"/>
        <vertAlign val="baseline"/>
        <sz val="11"/>
        <color auto="1"/>
        <name val="Gill Sans MT"/>
        <family val="2"/>
        <scheme val="minor"/>
      </font>
    </dxf>
    <dxf>
      <font>
        <b val="0"/>
        <i val="0"/>
        <strike val="0"/>
        <condense val="0"/>
        <extend val="0"/>
        <outline val="0"/>
        <shadow val="0"/>
        <u val="none"/>
        <vertAlign val="baseline"/>
        <sz val="11"/>
        <color theme="1"/>
        <name val="Gill Sans MT"/>
        <family val="2"/>
        <scheme val="minor"/>
      </font>
      <fill>
        <patternFill patternType="solid">
          <fgColor indexed="64"/>
          <bgColor rgb="FFDCE5FA"/>
        </patternFill>
      </fill>
    </dxf>
    <dxf>
      <font>
        <b val="0"/>
        <i val="0"/>
        <strike val="0"/>
        <condense val="0"/>
        <extend val="0"/>
        <outline val="0"/>
        <shadow val="0"/>
        <u val="none"/>
        <vertAlign val="baseline"/>
        <sz val="11"/>
        <color auto="1"/>
        <name val="Gill Sans MT"/>
        <family val="2"/>
        <scheme val="minor"/>
      </font>
    </dxf>
    <dxf>
      <font>
        <b val="0"/>
        <i val="0"/>
        <strike val="0"/>
        <condense val="0"/>
        <extend val="0"/>
        <outline val="0"/>
        <shadow val="0"/>
        <u val="none"/>
        <vertAlign val="baseline"/>
        <sz val="11"/>
        <color theme="1"/>
        <name val="Gill Sans MT"/>
        <family val="2"/>
        <scheme val="minor"/>
      </font>
      <numFmt numFmtId="8" formatCode="#,##0.00_);[Red]\(#,##0.00\)"/>
      <fill>
        <patternFill patternType="solid">
          <fgColor indexed="64"/>
          <bgColor rgb="FFDCE5FA"/>
        </patternFill>
      </fill>
    </dxf>
    <dxf>
      <font>
        <b val="0"/>
        <i val="0"/>
        <strike val="0"/>
        <condense val="0"/>
        <extend val="0"/>
        <outline val="0"/>
        <shadow val="0"/>
        <u val="none"/>
        <vertAlign val="baseline"/>
        <sz val="11"/>
        <color auto="1"/>
        <name val="Gill Sans MT"/>
        <family val="2"/>
        <scheme val="minor"/>
      </font>
    </dxf>
    <dxf>
      <font>
        <b/>
        <i val="0"/>
        <strike val="0"/>
        <condense val="0"/>
        <extend val="0"/>
        <outline val="0"/>
        <shadow val="0"/>
        <u val="none"/>
        <vertAlign val="baseline"/>
        <sz val="11"/>
        <color rgb="FFC00000"/>
        <name val="Gill Sans MT"/>
        <family val="2"/>
        <scheme val="minor"/>
      </font>
      <numFmt numFmtId="8" formatCode="#,##0.00_);[Red]\(#,##0.00\)"/>
      <fill>
        <patternFill patternType="solid">
          <fgColor indexed="64"/>
          <bgColor rgb="FFDCE5FA"/>
        </patternFill>
      </fill>
      <border>
        <left style="thin">
          <color rgb="FF000000"/>
        </left>
        <right style="thin">
          <color rgb="FF000000"/>
        </right>
      </border>
    </dxf>
    <dxf>
      <font>
        <b val="0"/>
        <i val="0"/>
        <strike val="0"/>
        <condense val="0"/>
        <extend val="0"/>
        <outline val="0"/>
        <shadow val="0"/>
        <u val="none"/>
        <vertAlign val="baseline"/>
        <sz val="11"/>
        <color auto="1"/>
        <name val="Gill Sans MT"/>
        <family val="2"/>
        <scheme val="minor"/>
      </font>
    </dxf>
    <dxf>
      <font>
        <b val="0"/>
        <i val="0"/>
        <strike val="0"/>
        <condense val="0"/>
        <extend val="0"/>
        <outline val="0"/>
        <shadow val="0"/>
        <u val="none"/>
        <vertAlign val="baseline"/>
        <sz val="11"/>
        <color auto="1"/>
        <name val="Gill Sans MT"/>
        <family val="2"/>
        <scheme val="minor"/>
      </font>
      <numFmt numFmtId="8" formatCode="#,##0.00_);[Red]\(#,##0.00\)"/>
      <fill>
        <patternFill patternType="solid">
          <fgColor indexed="64"/>
          <bgColor rgb="FFDCE5FA"/>
        </patternFill>
      </fill>
      <border>
        <top style="thin">
          <color rgb="FF000000"/>
        </top>
        <bottom style="thin">
          <color rgb="FF000000"/>
        </bottom>
        <horizontal style="thin">
          <color rgb="FF000000"/>
        </horizontal>
      </border>
    </dxf>
    <dxf>
      <font>
        <b val="0"/>
        <i val="0"/>
        <strike val="0"/>
        <condense val="0"/>
        <extend val="0"/>
        <outline val="0"/>
        <shadow val="0"/>
        <u val="none"/>
        <vertAlign val="baseline"/>
        <sz val="11"/>
        <color auto="1"/>
        <name val="Gill Sans MT"/>
        <family val="2"/>
        <scheme val="minor"/>
      </font>
    </dxf>
    <dxf>
      <font>
        <b val="0"/>
        <i val="0"/>
        <strike val="0"/>
        <condense val="0"/>
        <extend val="0"/>
        <outline val="0"/>
        <shadow val="0"/>
        <u val="none"/>
        <vertAlign val="baseline"/>
        <sz val="11"/>
        <color auto="1"/>
        <name val="Gill Sans MT"/>
        <family val="2"/>
        <scheme val="minor"/>
      </font>
      <numFmt numFmtId="8" formatCode="#,##0.00_);[Red]\(#,##0.00\)"/>
      <fill>
        <patternFill patternType="solid">
          <fgColor indexed="64"/>
          <bgColor rgb="FFDCE5FA"/>
        </patternFill>
      </fill>
      <border>
        <top style="thin">
          <color rgb="FF000000"/>
        </top>
        <bottom style="thin">
          <color rgb="FF000000"/>
        </bottom>
        <horizontal style="thin">
          <color rgb="FF000000"/>
        </horizontal>
      </border>
    </dxf>
    <dxf>
      <font>
        <b val="0"/>
        <i val="0"/>
        <strike val="0"/>
        <condense val="0"/>
        <extend val="0"/>
        <outline val="0"/>
        <shadow val="0"/>
        <u val="none"/>
        <vertAlign val="baseline"/>
        <sz val="11"/>
        <color auto="1"/>
        <name val="Gill Sans MT"/>
        <family val="2"/>
        <scheme val="minor"/>
      </font>
    </dxf>
    <dxf>
      <numFmt numFmtId="14" formatCode="0.00%"/>
      <fill>
        <patternFill patternType="solid">
          <fgColor indexed="64"/>
          <bgColor rgb="FFF4EDFF"/>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Gill Sans MT"/>
        <family val="2"/>
        <scheme val="minor"/>
      </font>
      <numFmt numFmtId="14" formatCode="0.00%"/>
    </dxf>
    <dxf>
      <font>
        <b val="0"/>
        <i val="0"/>
        <strike val="0"/>
        <condense val="0"/>
        <extend val="0"/>
        <outline val="0"/>
        <shadow val="0"/>
        <u val="none"/>
        <vertAlign val="baseline"/>
        <sz val="11"/>
        <color auto="1"/>
        <name val="Gill Sans MT"/>
        <family val="2"/>
        <scheme val="minor"/>
      </font>
      <numFmt numFmtId="167" formatCode="0.000000%"/>
      <fill>
        <patternFill patternType="solid">
          <fgColor indexed="64"/>
          <bgColor theme="5" tint="0.79998168889431442"/>
        </patternFill>
      </fill>
      <border>
        <left style="thin">
          <color rgb="FF000000"/>
        </left>
        <top style="thin">
          <color rgb="FF000000"/>
        </top>
        <bottom style="thin">
          <color rgb="FF000000"/>
        </bottom>
        <horizontal style="thin">
          <color rgb="FF000000"/>
        </horizontal>
      </border>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4" formatCode="0.00%"/>
      <fill>
        <patternFill patternType="solid">
          <fgColor indexed="64"/>
          <bgColor rgb="FFE1EFFA"/>
        </patternFill>
      </fill>
      <alignment horizontal="center" vertical="center" textRotation="0" wrapText="1"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1"/>
        <color auto="1"/>
        <name val="Gill Sans MT"/>
        <family val="2"/>
        <scheme val="minor"/>
      </font>
      <numFmt numFmtId="14" formatCode="0.00%"/>
      <fill>
        <patternFill patternType="solid">
          <fgColor indexed="64"/>
          <bgColor rgb="FFF4EDFF"/>
        </patternFill>
      </fill>
      <border diagonalUp="0" diagonalDown="0">
        <left/>
        <right style="thin">
          <color rgb="FF000000"/>
        </right>
        <top style="thin">
          <color rgb="FF000000"/>
        </top>
        <bottom/>
        <vertical/>
        <horizontal/>
      </border>
    </dxf>
    <dxf>
      <font>
        <b val="0"/>
        <i val="0"/>
        <strike val="0"/>
        <condense val="0"/>
        <extend val="0"/>
        <outline val="0"/>
        <shadow val="0"/>
        <u val="none"/>
        <vertAlign val="baseline"/>
        <sz val="11"/>
        <color auto="1"/>
        <name val="Gill Sans MT"/>
        <family val="2"/>
        <scheme val="minor"/>
      </font>
      <numFmt numFmtId="166" formatCode="&quot;$&quot;#,##0.00"/>
    </dxf>
    <dxf>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theme="1"/>
        <name val="Gill Sans MT"/>
        <family val="2"/>
        <scheme val="minor"/>
      </font>
      <numFmt numFmtId="0" formatCode="General"/>
      <fill>
        <patternFill patternType="solid">
          <fgColor indexed="64"/>
          <bgColor rgb="FFDCE5FA"/>
        </patternFill>
      </fill>
      <border diagonalUp="0" diagonalDown="0">
        <left/>
        <right style="thin">
          <color rgb="FF000000"/>
        </right>
        <top style="thin">
          <color rgb="FF000000"/>
        </top>
        <bottom/>
      </border>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rgb="FFADF7C0"/>
        </patternFill>
      </fill>
      <border>
        <left style="thin">
          <color rgb="FF000000"/>
        </left>
        <top style="thin">
          <color rgb="FF000000"/>
        </top>
        <bottom style="thin">
          <color rgb="FF000000"/>
        </bottom>
        <horizontal style="thin">
          <color rgb="FF000000"/>
        </horizontal>
      </border>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rgb="FFD4FCFC"/>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rgb="FFD4FCFC"/>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rgb="FFD4FCFC"/>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rgb="FFD4FCFC"/>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rgb="FFD4FCFC"/>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2" formatCode="0.00"/>
      <fill>
        <patternFill patternType="solid">
          <fgColor indexed="64"/>
          <bgColor theme="3" tint="0.59999389629810485"/>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theme="3" tint="0.59999389629810485"/>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theme="3" tint="0.59999389629810485"/>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theme="3" tint="0.59999389629810485"/>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theme="3" tint="0.59999389629810485"/>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theme="3" tint="0.59999389629810485"/>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theme="3" tint="0.59999389629810485"/>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theme="4"/>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theme="4"/>
        </patternFill>
      </fill>
      <alignment horizontal="center" vertical="center" textRotation="0" wrapText="1" indent="0" justifyLastLine="0" shrinkToFit="0" readingOrder="0"/>
      <border>
        <right style="thin">
          <color rgb="FF000000"/>
        </right>
      </border>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theme="4"/>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theme="4"/>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theme="4"/>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4" formatCode="0.00%"/>
      <fill>
        <patternFill patternType="solid">
          <fgColor indexed="64"/>
          <bgColor theme="4"/>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theme="4" tint="0.79998168889431442"/>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theme="4" tint="0.79998168889431442"/>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rgb="FFFAEDC8"/>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rgb="FFFAEDC8"/>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rgb="FFFAEDC8"/>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rgb="FFFAEDC8"/>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rgb="FFFAEDC8"/>
        </patternFill>
      </fill>
    </dxf>
    <dxf>
      <font>
        <b val="0"/>
        <i val="0"/>
        <strike val="0"/>
        <condense val="0"/>
        <extend val="0"/>
        <outline val="0"/>
        <shadow val="0"/>
        <u val="none"/>
        <vertAlign val="baseline"/>
        <sz val="11"/>
        <color auto="1"/>
        <name val="Gill Sans MT"/>
        <family val="2"/>
        <scheme val="minor"/>
      </font>
      <numFmt numFmtId="166" formatCode="&quot;$&quot;#,##0.00"/>
    </dxf>
    <dxf>
      <font>
        <b/>
        <i val="0"/>
        <strike val="0"/>
        <condense val="0"/>
        <extend val="0"/>
        <outline val="0"/>
        <shadow val="0"/>
        <u val="none"/>
        <vertAlign val="baseline"/>
        <sz val="11"/>
        <color rgb="FFC00000"/>
        <name val="Gill Sans MT"/>
        <family val="2"/>
        <scheme val="minor"/>
      </font>
      <numFmt numFmtId="166" formatCode="&quot;$&quot;#,##0.00"/>
      <fill>
        <patternFill patternType="solid">
          <fgColor indexed="64"/>
          <bgColor theme="3" tint="0.59999389629810485"/>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theme="4" tint="0.79998168889431442"/>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theme="4" tint="0.79998168889431442"/>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theme="4" tint="0.79998168889431442"/>
        </patternFill>
      </fill>
    </dxf>
    <dxf>
      <font>
        <b val="0"/>
        <i val="0"/>
        <strike val="0"/>
        <condense val="0"/>
        <extend val="0"/>
        <outline val="0"/>
        <shadow val="0"/>
        <u val="none"/>
        <vertAlign val="baseline"/>
        <sz val="11"/>
        <color auto="1"/>
        <name val="Gill Sans MT"/>
        <family val="2"/>
        <scheme val="minor"/>
      </font>
      <numFmt numFmtId="166" formatCode="&quot;$&quot;#,##0.00"/>
    </dxf>
    <dxf>
      <font>
        <b val="0"/>
        <i val="0"/>
        <strike val="0"/>
        <condense val="0"/>
        <extend val="0"/>
        <outline val="0"/>
        <shadow val="0"/>
        <u val="none"/>
        <vertAlign val="baseline"/>
        <sz val="11"/>
        <color theme="1"/>
        <name val="Gill Sans MT"/>
        <family val="2"/>
        <scheme val="minor"/>
      </font>
      <numFmt numFmtId="30" formatCode="@"/>
      <fill>
        <patternFill patternType="solid">
          <fgColor indexed="64"/>
          <bgColor theme="4" tint="0.79998168889431442"/>
        </patternFill>
      </fill>
    </dxf>
    <dxf>
      <font>
        <b val="0"/>
        <i val="0"/>
        <strike val="0"/>
        <condense val="0"/>
        <extend val="0"/>
        <outline val="0"/>
        <shadow val="0"/>
        <u val="none"/>
        <vertAlign val="baseline"/>
        <sz val="11"/>
        <color auto="1"/>
        <name val="Gill Sans MT"/>
        <family val="2"/>
        <scheme val="minor"/>
      </font>
    </dxf>
    <dxf>
      <font>
        <b/>
        <i val="0"/>
        <strike val="0"/>
        <condense val="0"/>
        <extend val="0"/>
        <outline val="0"/>
        <shadow val="0"/>
        <u val="none"/>
        <vertAlign val="baseline"/>
        <sz val="11"/>
        <color theme="1"/>
        <name val="Gill Sans MT"/>
        <family val="2"/>
        <scheme val="minor"/>
      </font>
      <numFmt numFmtId="166" formatCode="&quot;$&quot;#,##0.00"/>
      <fill>
        <patternFill patternType="solid">
          <fgColor indexed="64"/>
          <bgColor theme="3" tint="0.59999389629810485"/>
        </patternFill>
      </fill>
    </dxf>
    <dxf>
      <font>
        <b val="0"/>
        <i val="0"/>
        <strike val="0"/>
        <condense val="0"/>
        <extend val="0"/>
        <outline val="0"/>
        <shadow val="0"/>
        <u val="none"/>
        <vertAlign val="baseline"/>
        <sz val="11"/>
        <color auto="1"/>
        <name val="Gill Sans MT"/>
        <family val="2"/>
        <scheme val="minor"/>
      </font>
    </dxf>
    <dxf>
      <numFmt numFmtId="6" formatCode="#,##0_);[Red]\(#,##0\)"/>
      <fill>
        <patternFill patternType="solid">
          <fgColor indexed="64"/>
          <bgColor theme="4" tint="0.79998168889431442"/>
        </patternFill>
      </fill>
    </dxf>
    <dxf>
      <alignment horizontal="left" vertical="center" textRotation="0" wrapText="0" indent="1" justifyLastLine="0" shrinkToFit="0" readingOrder="0"/>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theme="3" tint="0.59999389629810485"/>
        </patternFill>
      </fill>
    </dxf>
    <dxf>
      <font>
        <b val="0"/>
        <i val="0"/>
        <strike val="0"/>
        <condense val="0"/>
        <extend val="0"/>
        <outline val="0"/>
        <shadow val="0"/>
        <u val="none"/>
        <vertAlign val="baseline"/>
        <sz val="11"/>
        <color auto="1"/>
        <name val="Gill Sans MT"/>
        <family val="2"/>
        <scheme val="minor"/>
      </font>
    </dxf>
    <dxf>
      <font>
        <b val="0"/>
        <i val="0"/>
        <strike val="0"/>
        <condense val="0"/>
        <extend val="0"/>
        <outline val="0"/>
        <shadow val="0"/>
        <u val="none"/>
        <vertAlign val="baseline"/>
        <sz val="11"/>
        <color auto="1"/>
        <name val="Gill Sans MT"/>
        <family val="2"/>
        <scheme val="minor"/>
      </font>
      <numFmt numFmtId="14" formatCode="0.00%"/>
      <fill>
        <patternFill patternType="solid">
          <fgColor indexed="64"/>
          <bgColor theme="4" tint="0.79998168889431442"/>
        </patternFill>
      </fill>
    </dxf>
    <dxf>
      <font>
        <b val="0"/>
        <i val="0"/>
        <strike val="0"/>
        <condense val="0"/>
        <extend val="0"/>
        <outline val="0"/>
        <shadow val="0"/>
        <u val="none"/>
        <vertAlign val="baseline"/>
        <sz val="11"/>
        <color auto="1"/>
        <name val="Gill Sans MT"/>
        <family val="2"/>
        <scheme val="minor"/>
      </font>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theme="3" tint="0.59999389629810485"/>
        </patternFill>
      </fill>
    </dxf>
    <dxf>
      <font>
        <b val="0"/>
        <i val="0"/>
        <strike val="0"/>
        <condense val="0"/>
        <extend val="0"/>
        <outline val="0"/>
        <shadow val="0"/>
        <u val="none"/>
        <vertAlign val="baseline"/>
        <sz val="11"/>
        <color auto="1"/>
        <name val="Gill Sans MT"/>
        <family val="2"/>
        <scheme val="minor"/>
      </font>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rgb="FFFAEDC8"/>
        </patternFill>
      </fill>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Gill Sans MT"/>
        <family val="2"/>
        <scheme val="minor"/>
      </font>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rgb="FFFAEDC8"/>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Gill Sans MT"/>
        <family val="2"/>
        <scheme val="minor"/>
      </font>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rgb="FFFAEDC8"/>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Gill Sans MT"/>
        <family val="2"/>
        <scheme val="minor"/>
      </font>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rgb="FFE2FADC"/>
        </patternFill>
      </fill>
      <border>
        <left style="thin">
          <color rgb="FF000000"/>
        </left>
        <right style="thin">
          <color rgb="FF000000"/>
        </right>
        <top style="thin">
          <color rgb="FF000000"/>
        </top>
        <bottom style="thin">
          <color rgb="FF000000"/>
        </bottom>
        <horizontal style="thin">
          <color rgb="FF000000"/>
        </horizontal>
      </border>
    </dxf>
    <dxf>
      <font>
        <b val="0"/>
        <i val="0"/>
        <strike val="0"/>
        <condense val="0"/>
        <extend val="0"/>
        <outline val="0"/>
        <shadow val="0"/>
        <u val="none"/>
        <vertAlign val="baseline"/>
        <sz val="11"/>
        <color auto="1"/>
        <name val="Gill Sans MT"/>
        <family val="2"/>
        <scheme val="minor"/>
      </font>
    </dxf>
    <dxf>
      <font>
        <b val="0"/>
        <i val="0"/>
        <strike val="0"/>
        <condense val="0"/>
        <extend val="0"/>
        <outline val="0"/>
        <shadow val="0"/>
        <u val="none"/>
        <vertAlign val="baseline"/>
        <sz val="11"/>
        <color auto="1"/>
        <name val="Gill Sans MT"/>
        <family val="2"/>
        <scheme val="minor"/>
      </font>
      <numFmt numFmtId="14" formatCode="0.0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Gill Sans MT"/>
        <family val="2"/>
        <scheme val="minor"/>
      </font>
    </dxf>
    <dxf>
      <font>
        <b val="0"/>
        <i val="0"/>
        <strike val="0"/>
        <condense val="0"/>
        <extend val="0"/>
        <outline val="0"/>
        <shadow val="0"/>
        <u val="none"/>
        <vertAlign val="baseline"/>
        <sz val="11"/>
        <color auto="1"/>
        <name val="Gill Sans MT"/>
        <family val="2"/>
        <scheme val="minor"/>
      </font>
      <numFmt numFmtId="166" formatCode="&quot;$&quot;#,##0.00"/>
      <border>
        <right style="thin">
          <color rgb="FF000000"/>
        </right>
      </border>
    </dxf>
    <dxf>
      <font>
        <b val="0"/>
        <i val="0"/>
        <strike val="0"/>
        <condense val="0"/>
        <extend val="0"/>
        <outline val="0"/>
        <shadow val="0"/>
        <u val="none"/>
        <vertAlign val="baseline"/>
        <sz val="11"/>
        <color auto="1"/>
        <name val="Gill Sans MT"/>
        <family val="2"/>
        <scheme val="minor"/>
      </font>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rgb="FFF9EDFC"/>
        </patternFill>
      </fill>
    </dxf>
    <dxf>
      <font>
        <b val="0"/>
        <i val="0"/>
        <strike val="0"/>
        <condense val="0"/>
        <extend val="0"/>
        <outline val="0"/>
        <shadow val="0"/>
        <u val="none"/>
        <vertAlign val="baseline"/>
        <sz val="11"/>
        <color auto="1"/>
        <name val="Gill Sans MT"/>
        <family val="2"/>
        <scheme val="minor"/>
      </font>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rgb="FFF9EDFC"/>
        </patternFill>
      </fill>
    </dxf>
    <dxf>
      <font>
        <b val="0"/>
        <i val="0"/>
        <strike val="0"/>
        <condense val="0"/>
        <extend val="0"/>
        <outline val="0"/>
        <shadow val="0"/>
        <u val="none"/>
        <vertAlign val="baseline"/>
        <sz val="11"/>
        <color auto="1"/>
        <name val="Gill Sans MT"/>
        <family val="2"/>
        <scheme val="minor"/>
      </font>
    </dxf>
    <dxf>
      <font>
        <b val="0"/>
        <i val="0"/>
        <strike val="0"/>
        <condense val="0"/>
        <extend val="0"/>
        <outline val="0"/>
        <shadow val="0"/>
        <u val="none"/>
        <vertAlign val="baseline"/>
        <sz val="11"/>
        <color auto="1"/>
        <name val="Gill Sans MT"/>
        <family val="2"/>
        <scheme val="minor"/>
      </font>
      <numFmt numFmtId="166" formatCode="&quot;$&quot;#,##0.00"/>
      <fill>
        <patternFill patternType="solid">
          <fgColor indexed="64"/>
          <bgColor rgb="FFF9EDFC"/>
        </patternFill>
      </fill>
    </dxf>
    <dxf>
      <font>
        <b val="0"/>
        <i val="0"/>
        <strike val="0"/>
        <condense val="0"/>
        <extend val="0"/>
        <outline val="0"/>
        <shadow val="0"/>
        <u val="none"/>
        <vertAlign val="baseline"/>
        <sz val="11"/>
        <color auto="1"/>
        <name val="Gill Sans MT"/>
        <family val="2"/>
        <scheme val="minor"/>
      </font>
    </dxf>
    <dxf>
      <font>
        <b val="0"/>
        <i val="0"/>
        <strike val="0"/>
        <condense val="0"/>
        <extend val="0"/>
        <outline val="0"/>
        <shadow val="0"/>
        <u val="none"/>
        <vertAlign val="baseline"/>
        <sz val="11"/>
        <color auto="1"/>
        <name val="Gill Sans MT"/>
        <family val="2"/>
        <scheme val="minor"/>
      </font>
      <fill>
        <patternFill patternType="solid">
          <fgColor indexed="64"/>
          <bgColor theme="3" tint="0.79998168889431442"/>
        </patternFill>
      </fill>
      <border>
        <left style="thin">
          <color rgb="FF000000"/>
        </left>
        <top style="thin">
          <color rgb="FF000000"/>
        </top>
        <bottom style="thin">
          <color rgb="FF000000"/>
        </bottom>
        <horizontal style="thin">
          <color rgb="FF000000"/>
        </horizontal>
      </border>
    </dxf>
    <dxf>
      <font>
        <b val="0"/>
      </font>
    </dxf>
    <dxf>
      <font>
        <b val="0"/>
        <i val="0"/>
        <strike val="0"/>
        <condense val="0"/>
        <extend val="0"/>
        <outline val="0"/>
        <shadow val="0"/>
        <u val="none"/>
        <vertAlign val="baseline"/>
        <sz val="11"/>
        <color auto="1"/>
        <name val="Gill Sans MT"/>
        <family val="2"/>
        <scheme val="minor"/>
      </font>
    </dxf>
    <dxf>
      <font>
        <color theme="1"/>
      </font>
      <fill>
        <patternFill patternType="solid">
          <bgColor rgb="FFFAEDC8"/>
        </patternFill>
      </fill>
    </dxf>
    <dxf>
      <font>
        <color theme="1"/>
      </font>
      <fill>
        <patternFill patternType="solid">
          <bgColor theme="9" tint="-9.9978637043366805E-2"/>
        </patternFill>
      </fill>
    </dxf>
    <dxf>
      <fill>
        <patternFill>
          <bgColor rgb="FFFFC7CE"/>
        </patternFill>
      </fill>
    </dxf>
    <dxf>
      <font>
        <color theme="1"/>
      </font>
      <fill>
        <patternFill patternType="solid">
          <bgColor theme="9"/>
        </patternFill>
      </fill>
    </dxf>
    <dxf>
      <font>
        <color theme="1"/>
      </font>
      <fill>
        <patternFill patternType="solid">
          <bgColor theme="5" tint="0.39997558519241921"/>
        </patternFill>
      </fill>
    </dxf>
    <dxf>
      <font>
        <color theme="1"/>
      </font>
      <fill>
        <patternFill patternType="solid">
          <bgColor theme="2" tint="-0.249977111117893"/>
        </patternFill>
      </fill>
    </dxf>
    <dxf>
      <font>
        <color theme="1"/>
      </font>
      <fill>
        <patternFill patternType="solid">
          <bgColor theme="2" tint="-0.249977111117893"/>
        </patternFill>
      </fill>
    </dxf>
    <dxf>
      <font>
        <color rgb="FFDA0000"/>
      </font>
    </dxf>
    <dxf>
      <font>
        <color theme="1"/>
      </font>
      <fill>
        <patternFill patternType="solid">
          <bgColor theme="2" tint="-9.9978637043366805E-2"/>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ill>
        <patternFill>
          <bgColor theme="0" tint="-4.9989318521683403E-2"/>
        </patternFill>
      </fill>
    </dxf>
    <dxf>
      <fill>
        <patternFill>
          <bgColor theme="0" tint="-4.9989318521683403E-2"/>
        </patternFill>
      </fill>
    </dxf>
    <dxf>
      <fill>
        <patternFill>
          <bgColor theme="6"/>
        </patternFill>
      </fill>
    </dxf>
    <dxf>
      <font>
        <color theme="0"/>
      </font>
      <fill>
        <patternFill>
          <fgColor theme="3" tint="-0.24994659260841701"/>
          <bgColor theme="3" tint="-0.24994659260841701"/>
        </patternFill>
      </fill>
    </dxf>
    <dxf>
      <fill>
        <patternFill>
          <bgColor theme="0" tint="-4.9989318521683403E-2"/>
        </patternFill>
      </fill>
    </dxf>
    <dxf>
      <fill>
        <patternFill>
          <bgColor theme="6"/>
        </patternFill>
      </fill>
    </dxf>
    <dxf>
      <font>
        <color theme="0"/>
      </font>
      <fill>
        <patternFill>
          <bgColor theme="5" tint="-0.499984740745262"/>
        </patternFill>
      </fill>
    </dxf>
    <dxf>
      <fill>
        <patternFill>
          <bgColor theme="0" tint="-4.9989318521683403E-2"/>
        </patternFill>
      </fill>
    </dxf>
    <dxf>
      <fill>
        <patternFill>
          <bgColor theme="6"/>
        </patternFill>
      </fill>
    </dxf>
    <dxf>
      <font>
        <color theme="0"/>
      </font>
      <fill>
        <patternFill>
          <bgColor theme="7" tint="-0.24994659260841701"/>
        </patternFill>
      </fill>
    </dxf>
    <dxf>
      <fill>
        <patternFill>
          <bgColor theme="0" tint="-0.14996795556505021"/>
        </patternFill>
      </fill>
    </dxf>
    <dxf>
      <font>
        <b/>
        <i val="0"/>
      </font>
      <fill>
        <patternFill patternType="solid">
          <bgColor theme="0" tint="-4.9989318521683403E-2"/>
        </patternFill>
      </fill>
    </dxf>
    <dxf>
      <font>
        <b val="0"/>
        <i val="0"/>
        <color theme="1"/>
      </font>
      <fill>
        <patternFill patternType="solid">
          <fgColor theme="4"/>
          <bgColor theme="0" tint="-0.14996795556505021"/>
        </patternFill>
      </fill>
      <border>
        <top style="thin">
          <color theme="0"/>
        </top>
      </border>
    </dxf>
    <dxf>
      <font>
        <b val="0"/>
        <i val="0"/>
        <color theme="0"/>
      </font>
      <fill>
        <gradientFill degree="90">
          <stop position="0">
            <color theme="6" tint="-0.49803155613879818"/>
          </stop>
          <stop position="1">
            <color theme="6" tint="-0.25098422193060094"/>
          </stop>
        </gradientFill>
      </fill>
      <border diagonalUp="0" diagonalDown="0">
        <left/>
        <right/>
        <top/>
        <bottom/>
        <vertical/>
        <horizontal/>
      </border>
    </dxf>
    <dxf>
      <font>
        <b val="0"/>
        <i val="0"/>
        <color theme="1"/>
      </font>
      <fill>
        <patternFill patternType="solid">
          <fgColor auto="1"/>
          <bgColor theme="0" tint="-4.9989318521683403E-2"/>
        </patternFill>
      </fill>
      <border>
        <left style="thin">
          <color theme="0"/>
        </left>
        <right style="thin">
          <color theme="0"/>
        </right>
        <top style="thin">
          <color theme="0"/>
        </top>
        <bottom style="thin">
          <color theme="0"/>
        </bottom>
        <vertical style="thin">
          <color theme="0"/>
        </vertical>
        <horizontal style="thin">
          <color theme="0"/>
        </horizontal>
      </border>
    </dxf>
    <dxf>
      <fill>
        <patternFill>
          <bgColor theme="0" tint="-4.9989318521683403E-2"/>
        </patternFill>
      </fill>
    </dxf>
    <dxf>
      <fill>
        <patternFill>
          <bgColor theme="6"/>
        </patternFill>
      </fill>
    </dxf>
    <dxf>
      <font>
        <color theme="0"/>
      </font>
      <fill>
        <patternFill>
          <bgColor theme="9" tint="-0.749961851863155"/>
        </patternFill>
      </fill>
    </dxf>
  </dxfs>
  <tableStyles count="5" defaultTableStyle="Monthly Budget" defaultPivotStyle="PivotStyleLight16">
    <tableStyle name="Income" pivot="0" count="3" xr9:uid="{39CD2CDA-2AC2-7047-981A-EFD1CC94014D}">
      <tableStyleElement type="headerRow" dxfId="150"/>
      <tableStyleElement type="totalRow" dxfId="149"/>
      <tableStyleElement type="firstRowStripe" dxfId="148"/>
    </tableStyle>
    <tableStyle name="Monthly Budget" pivot="0" count="5" xr9:uid="{00000000-0011-0000-FFFF-FFFF00000000}">
      <tableStyleElement type="wholeTable" dxfId="147"/>
      <tableStyleElement type="headerRow" dxfId="146"/>
      <tableStyleElement type="totalRow" dxfId="145"/>
      <tableStyleElement type="lastColumn" dxfId="144"/>
      <tableStyleElement type="secondRowStripe" dxfId="143"/>
    </tableStyle>
    <tableStyle name="Operating Expenses" pivot="0" count="3" xr9:uid="{238C2E5E-FCB8-3443-8813-412B84A4CEAB}">
      <tableStyleElement type="headerRow" dxfId="142"/>
      <tableStyleElement type="totalRow" dxfId="141"/>
      <tableStyleElement type="secondRowStripe" dxfId="140"/>
    </tableStyle>
    <tableStyle name="Personal Expenses" pivot="0" count="3" xr9:uid="{9C928B7B-F361-4645-BF1B-B9861077DF97}">
      <tableStyleElement type="headerRow" dxfId="139"/>
      <tableStyleElement type="totalRow" dxfId="138"/>
      <tableStyleElement type="secondRowStripe" dxfId="137"/>
    </tableStyle>
    <tableStyle name="Summary" pivot="0" count="4" xr9:uid="{2F7C3F75-98F9-6B44-A135-CEB2FB9A67FB}">
      <tableStyleElement type="headerRow" dxfId="136"/>
      <tableStyleElement type="totalRow" dxfId="135"/>
      <tableStyleElement type="lastColumn" dxfId="134"/>
      <tableStyleElement type="secondRowStripe" dxfId="133"/>
    </tableStyle>
  </tableStyles>
  <colors>
    <mruColors>
      <color rgb="FFF3DCFC"/>
      <color rgb="FFFCE5BB"/>
      <color rgb="FFE6F6F7"/>
      <color rgb="FFE2FADC"/>
      <color rgb="FFE1EFFA"/>
      <color rgb="FFFCD7E3"/>
      <color rgb="FFFAEDC8"/>
      <color rgb="FFF9EDFC"/>
      <color rgb="FFF4EDFF"/>
      <color rgb="FFDCE5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C76022D-5F38-4C57-A6CF-4614BE9C2D20}" name="Table269678" displayName="Table269678" ref="B4:BI12" totalsRowShown="0" dataDxfId="119" totalsRowDxfId="118" headerRowCellStyle="Heading 1">
  <autoFilter ref="B4:BI12" xr:uid="{A96928A1-C5FA-4986-9E89-72699ED5BF21}"/>
  <tableColumns count="60">
    <tableColumn id="8" xr3:uid="{660E07DE-2A81-4A45-B0D6-B6BEB805F9F3}" name="Vehicle:" dataDxfId="117" dataCellStyle="Input"/>
    <tableColumn id="29" xr3:uid="{DEF241CA-F035-4D87-A20A-4B8015FF7C59}" name="Dealership Price:" dataDxfId="115" totalsRowDxfId="116" dataCellStyle="Input"/>
    <tableColumn id="42" xr3:uid="{DD7F205B-DD5C-4EC2-B929-87DF9B2A7756}" name="Dealership:" dataDxfId="113" totalsRowDxfId="114" dataCellStyle="Input"/>
    <tableColumn id="28" xr3:uid="{03D242F2-9B48-4562-B2EF-5674707523E6}" name="MSRP:" dataDxfId="111" totalsRowDxfId="112" dataCellStyle="Input"/>
    <tableColumn id="32" xr3:uid="{291F377B-92C4-4175-B7A9-5A75B8E9DAE1}" name="Dealer Under/Over MSRP:" dataDxfId="109" totalsRowDxfId="110" dataCellStyle="Input">
      <calculatedColumnFormula>IF(C5&gt;E5,"Over","Under")</calculatedColumnFormula>
    </tableColumn>
    <tableColumn id="30" xr3:uid="{07B45DC5-C1AA-41CC-B64B-DF9657EDB2C4}" name="% Difference MSRP:" dataDxfId="107" totalsRowDxfId="108" dataCellStyle="Input">
      <calculatedColumnFormula>(C5-E5)/E5</calculatedColumnFormula>
    </tableColumn>
    <tableColumn id="10" xr3:uid="{D9EF04B5-602C-40F4-939A-72CE0884162B}" name="Sales Tax:" dataDxfId="105" totalsRowDxfId="106" dataCellStyle="Input">
      <calculatedColumnFormula>IF(Table269678[[#This Row],[HUT Tax Exemption?]]&lt;&gt;"N/A",0,IF(Table269678[[#This Row],[Trading In?]]="Y",Table269678[[#This Row],[Net with Trade In (Pre - Tax): ]]*Table269678[[#This Row],[HUT Tax Rate:]],IF(Table269678[[#This Row],[Trading In?]]="N",Table269678[[#This Row],[Net No Trade In (Pre - Tax): ]]*Table269678[[#This Row],[HUT Tax Rate:]])))</calculatedColumnFormula>
    </tableColumn>
    <tableColumn id="6" xr3:uid="{FFE61213-16A9-49BE-8F4B-4B87BD9BDCC0}" name="Net Dealership Price with Sales Tax:" dataDxfId="103" totalsRowDxfId="104" dataCellStyle="Input">
      <calculatedColumnFormula>IF(Table269678[[#This Row],[Trading In?]]="Y",Table269678[[#This Row],[Net with Trade In (Pre - Tax): ]]+Table269678[[#This Row],[Sales Tax:]],IF(Table269678[[#This Row],[Trading In?]]="N",Table269678[[#This Row],[Net No Trade In (Pre - Tax): ]]+Table269678[[#This Row],[Sales Tax:]]))</calculatedColumnFormula>
    </tableColumn>
    <tableColumn id="22" xr3:uid="{C51C9B9E-99EB-4AE2-98A3-D5D58BB9EDB6}" name="Net No Trade In (Pre - Tax): " dataDxfId="101" totalsRowDxfId="102" dataCellStyle="Input">
      <calculatedColumnFormula>IF(AND(Table269678[[#This Row],[Paying for Admin Fee Out of Pocket? (Y/N):]]="N",Table269678[[#This Row],[Paying for DMV Fees Out of Pocket?]]="N"),Table269678[[#This Row],[Dealership Price:]]-Table269678[[#This Row],[Savings:]]-Table269678[[#This Row],[Rebate Amount:]]-Table269678[[#This Row],[Down Payment:]]+Table269678[[#This Row],[Admin Fee:]]+Table269678[[#This Row],[DMV Fees Total:]],IF(AND(Table269678[[#This Row],[Paying for Admin Fee Out of Pocket? (Y/N):]]="Y",Table269678[[#This Row],[Paying for DMV Fees Out of Pocket?]]="Y"),Table269678[[#This Row],[Dealership Price:]]-Table269678[[#This Row],[Savings:]]-Table269678[[#This Row],[Rebate Amount:]]-Table269678[[#This Row],[Down Payment:]],IF(AND(Table269678[[#This Row],[Paying for Admin Fee Out of Pocket? (Y/N):]]="Y",Table269678[[#This Row],[Paying for DMV Fees Out of Pocket?]]="N"),Table269678[[#This Row],[Dealership Price:]]+Table269678[[#This Row],[DMV Fees Total:]]-Table269678[[#This Row],[Savings:]]-Table269678[[#This Row],[Rebate Amount:]]-Table269678[[#This Row],[Down Payment:]],IF(AND(Q5="N",Z5="Y"),C5-R5-AQ5-AU5+N5))))</calculatedColumnFormula>
    </tableColumn>
    <tableColumn id="31" xr3:uid="{09A2DE9A-B67F-45E9-8FD3-FC5CC1C53A85}" name="Net with Trade In (Pre - Tax): " dataDxfId="99" totalsRowDxfId="100" dataCellStyle="Input">
      <calculatedColumnFormula>IF(Table269678[[#This Row],[Trading In?]]="N","N/A",IF(AND(Table269678[[#This Row],[Trading In?]]="Y",Table269678[[#This Row],[Paying for Admin Fee Out of Pocket? (Y/N):]]="N"),Table269678[[#This Row],[Dealership Price:]]-Table269678[[#This Row],[Total To be Applied Off of Net Dealership Price After Pay Off, Rebate, Down Payment]]+Table269678[[#This Row],[Admin Fee:]],IF(AND(Table269678[[#This Row],[Trading In?]]="Y",Table269678[[#This Row],[Paying for Admin Fee Out of Pocket? (Y/N):]]="Y"),Table269678[[#This Row],[Dealership Price:]]-Table269678[[#This Row],[Total To be Applied Off of Net Dealership Price After Pay Off, Rebate, Down Payment]])))</calculatedColumnFormula>
    </tableColumn>
    <tableColumn id="5" xr3:uid="{4AF6DCF5-1A2E-47D5-BD4F-7665B71DB666}" name="HUT Tax Exemption?" dataDxfId="97" totalsRowDxfId="98" dataCellStyle="Input"/>
    <tableColumn id="39" xr3:uid="{73E0FDC4-05E4-41FD-A837-86DB96BB49D9}" name="HUT Tax Rate:" dataDxfId="95" totalsRowDxfId="96"/>
    <tableColumn id="7" xr3:uid="{D362DC33-B5B2-4AB0-A7AE-71D56DEFD5EA}" name="Admin Fee:" dataDxfId="93" totalsRowDxfId="94" dataCellStyle="Input"/>
    <tableColumn id="1" xr3:uid="{C65A839A-70AF-4722-B01A-5713BDD6DC2A}" name="Term: " dataDxfId="91" totalsRowDxfId="92" dataCellStyle="Input"/>
    <tableColumn id="2" xr3:uid="{52E944B5-B712-428C-B345-7208737053AB}" name="Monthly Payment:" dataDxfId="89" totalsRowDxfId="90">
      <calculatedColumnFormula>PMT(AZ5,O5,Table269678[[#This Row],[Net Dealership Price with Sales Tax:]])</calculatedColumnFormula>
    </tableColumn>
    <tableColumn id="44" xr3:uid="{ECA42FF1-9C10-48E9-B074-893B7ED56CB6}" name="Paying for Admin Fee Out of Pocket? (Y/N):" dataDxfId="87" totalsRowDxfId="88"/>
    <tableColumn id="9" xr3:uid="{B3C66D7F-23A2-42E3-9286-EFFF7528096A}" name="Savings:" dataDxfId="85" totalsRowDxfId="86"/>
    <tableColumn id="16" xr3:uid="{3CB75ADC-04F7-4B04-BBFF-F29B0BD89B69}" name="Non Tax Fees/ Other Fees:" dataDxfId="83" totalsRowDxfId="84"/>
    <tableColumn id="36" xr3:uid="{383FB0E3-F095-4096-9AF6-2CDD9665CE72}" name="New Loan Amount:" dataDxfId="81" totalsRowDxfId="82">
      <calculatedColumnFormula>Table269678[[#This Row],[Net Dealership Price with Sales Tax:]]</calculatedColumnFormula>
    </tableColumn>
    <tableColumn id="3" xr3:uid="{E0774CEB-A0F8-4B83-A902-FBAB68765F4C}" name="Total Interest Paid:" dataDxfId="79" totalsRowDxfId="80">
      <calculatedColumnFormula>CUMIPMT(AZ5,O5,Table269678[[#This Row],[Net Dealership Price with Sales Tax:]],1,O5,1)</calculatedColumnFormula>
    </tableColumn>
    <tableColumn id="19" xr3:uid="{C99DE282-9CEA-4CA5-8F09-DC10A5B88603}" name="One Time Title Fee:" dataDxfId="77" totalsRowDxfId="78"/>
    <tableColumn id="20" xr3:uid="{F6D38B18-10E1-41DC-BC15-6B3CE34D8C37}" name="Registration Fee (For a Vehicle of Type &quot;Car&quot;):" dataDxfId="75" totalsRowDxfId="76"/>
    <tableColumn id="21" xr3:uid="{A32028B6-AB06-4B89-90B8-F5033D2E7BB3}" name="Property Tax:" dataDxfId="73" totalsRowDxfId="74"/>
    <tableColumn id="45" xr3:uid="{D6F14F3C-6CE3-44B3-9CE7-153001864608}" name="DMV Fees Total:" dataDxfId="71" totalsRowDxfId="72">
      <calculatedColumnFormula>Table269678[[#This Row],[Property Tax:]]+Table269678[[#This Row],[Registration Fee (For a Vehicle of Type "Car"):]]+Table269678[[#This Row],[One Time Title Fee:]]</calculatedColumnFormula>
    </tableColumn>
    <tableColumn id="43" xr3:uid="{4F452307-1181-4B83-A2A3-C593921A67D3}" name="Paying for DMV Fees Out of Pocket?" dataDxfId="69" totalsRowDxfId="70"/>
    <tableColumn id="15" xr3:uid="{FC96EAFF-0C29-40EA-82B0-E29BB1477080}" name="TT&amp;L Fees included in Admin Fee? (Y/N)" dataDxfId="67" totalsRowDxfId="68"/>
    <tableColumn id="49" xr3:uid="{9A28036A-7D53-4D60-822E-91E813E6E2A7}" name="All Possible Additional Fees Total:" dataDxfId="65" totalsRowDxfId="66">
      <calculatedColumnFormula>Table269678[[#This Row],[DMV Fees Total:]]+Table269678[[#This Row],[Non Tax Fees/ Other Fees:]]+Table269678[[#This Row],[Admin Fee:]]</calculatedColumnFormula>
    </tableColumn>
    <tableColumn id="37" xr3:uid="{9979C1FF-5B71-4642-9D9E-094377091884}" name="Trading In?" dataDxfId="63" totalsRowDxfId="64"/>
    <tableColumn id="50" xr3:uid="{C8D46FC7-BA9A-484B-BCBD-506CF02AEC8C}" name="Dealer Offer For Trade In:" dataDxfId="61" totalsRowDxfId="62">
      <calculatedColumnFormula>IF(Table269678[[#This Row],[Trading In?]]="N","")</calculatedColumnFormula>
    </tableColumn>
    <tableColumn id="23" xr3:uid="{FEBABFD4-517E-4BEA-9199-A7B9562A1001}" name="Loan Pay Off: " dataDxfId="59" totalsRowDxfId="60">
      <calculatedColumnFormula>IF(Table269678[[#This Row],[Trading In?]]="N","")</calculatedColumnFormula>
    </tableColumn>
    <tableColumn id="24" xr3:uid="{73A50385-3086-4A63-ADD3-6669D21EB259}" name="Total To be Applied Off of Net Dealership Price After Pay Off, Rebate, Down Payment" dataDxfId="57" totalsRowDxfId="58">
      <calculatedColumnFormula>IF(Table269678[[#This Row],[Trading In?]]="N","N/A",IF(Table269678[[#This Row],[Trading In?]]="Y",Table269678[[#This Row],[Dealer Offer For Trade In:]]-Table269678[[#This Row],[Loan Pay Off: ]]+Table269678[[#This Row],[Rebate Amount:]]+Table269678[[#This Row],[Down Payment:]]))</calculatedColumnFormula>
    </tableColumn>
    <tableColumn id="12" xr3:uid="{C3D73FA1-3E0F-4B94-9B33-D87528A94A53}" name="Vehicle Trading in:" dataDxfId="55" totalsRowDxfId="56" dataCellStyle="Heading 1"/>
    <tableColumn id="13" xr3:uid="{09822C10-28EB-4F11-A21A-9B02521C82EA}" name="NADA:" dataDxfId="53" totalsRowDxfId="54" dataCellStyle="Heading 1"/>
    <tableColumn id="33" xr3:uid="{D0D3EB2D-3BEE-4221-A277-E40B30129E04}" name="KBB Selling:" dataDxfId="51" totalsRowDxfId="52"/>
    <tableColumn id="34" xr3:uid="{DE787BCA-7FD7-4F1B-B12A-4D2ADB0CD0D3}" name="KBB Trading:" dataDxfId="49" totalsRowDxfId="50"/>
    <tableColumn id="25" xr3:uid="{740A6C13-6566-4738-B9BB-6C4DFA95CD16}" name="Best Pay Off Offer: " dataDxfId="47" totalsRowDxfId="48"/>
    <tableColumn id="41" xr3:uid="{059B9507-D1E6-4960-8EEF-3DBE68872E93}" name="Best pay Off From:" dataDxfId="45" totalsRowDxfId="46"/>
    <tableColumn id="48" xr3:uid="{45D38547-E87C-40F5-9679-DF6F73D64C48}" name="Trade In Vehicle Invoice Fee (iseecars.com):" dataDxfId="43" totalsRowDxfId="44"/>
    <tableColumn id="47" xr3:uid="{F85E4E3D-B7B5-4533-8F1B-87C010E66B23}" name="Trade In Vehicle Destination Charge (iseecars.com):" dataDxfId="41" totalsRowDxfId="42"/>
    <tableColumn id="38" xr3:uid="{AD2C8B78-0A24-434A-B106-89C88305FA11}" name="% Within KBB Sell/ Trade:" dataDxfId="39" totalsRowDxfId="40">
      <calculatedColumnFormula>IF(Table269678[[#This Row],[Trading In?]]="N","N/A",IF(Table269678[[#This Row],[Trading In?]]="Y",ROUND(((Table269678[[#This Row],[Dealer Offer For Trade In:]]/Table269678[[#This Row],[KBB Selling:]]) - 1)* 100,2) &amp; " % " &amp; "/ " &amp; ROUND(((Table269678[[#This Row],[Dealer Offer For Trade In:]]/Table269678[[#This Row],[KBB Trading:]]) -1)* 100,2) &amp; "%"))</calculatedColumnFormula>
    </tableColumn>
    <tableColumn id="27" xr3:uid="{D292C032-421E-4DB9-B491-629FC45953DD}" name="Rebate? (Y/N):" dataDxfId="37" totalsRowDxfId="38"/>
    <tableColumn id="14" xr3:uid="{5D3518C2-CFD7-4555-B384-601892A1361A}" name="Rebate Amount:" dataDxfId="35" totalsRowDxfId="36"/>
    <tableColumn id="40" xr3:uid="{42D5E58A-CA5A-411B-9FED-D2DDD2D73F20}" name="Qualification:" dataDxfId="33" totalsRowDxfId="34"/>
    <tableColumn id="18" xr3:uid="{45F62524-C711-495C-AA9E-4FCE3D042E44}" name="Rebate Through:" dataDxfId="31" totalsRowDxfId="32"/>
    <tableColumn id="26" xr3:uid="{6809D8BE-CDDE-4631-93E5-E3B6883B42CC}" name="Rebate Applied To:" dataDxfId="29" totalsRowDxfId="30">
      <calculatedColumnFormula>IF(AP5="N","",B5)</calculatedColumnFormula>
    </tableColumn>
    <tableColumn id="11" xr3:uid="{D20FCDCA-AE43-4ED6-A1F3-08B0D04CEFF8}" name="Down Payment:" dataDxfId="27" totalsRowDxfId="28">
      <calculatedColumnFormula>+AQ5</calculatedColumnFormula>
    </tableColumn>
    <tableColumn id="62" xr3:uid="{BC3B8D9F-3698-4DC0-AA6C-D9CCC4391A82}" name="Suggested Down Payment:" dataDxfId="25" totalsRowDxfId="26">
      <calculatedColumnFormula>IF(Table269678[[#This Row],[Term: ]]=36,"$"&amp;ROUNDUP(0.1*Table269678[[#This Row],[Dealership Price:]],0)&amp; "-"&amp;"$"&amp;ROUNDUP(0.15*Table269678[[#This Row],[Dealership Price:]],0),IF(Table269678[[#This Row],[Term: ]]=48,"$"&amp;ROUNDUP(0.15*Table269678[[#This Row],[Dealership Price:]],0)&amp;" - "&amp;"$"&amp;ROUNDUP(0.2*Table269678[[#This Row],[Dealership Price:]],0),IF(Table269678[[#This Row],[Term: ]]=60,"$"&amp;ROUNDUP(0.2*Table269678[[#This Row],[Dealership Price:]],0)&amp;" - "&amp;"$"&amp;ROUNDUP(0.25*Table269678[[#This Row],[Dealership Price:]],0),IF(Table269678[[#This Row],[Term: ]]=72,"$"&amp;ROUNDUP(0.25*Table269678[[#This Row],[Dealership Price:]],0)&amp;" - " &amp;"$"&amp;ROUNDUP(0.3*Table269678[[#This Row],[Dealership Price:]],0),IF(Table269678[[#This Row],[Term: ]]=84,"$"&amp;ROUNDUP(0.3*Table269678[[#This Row],[Dealership Price:]],0)&amp;" or More")))))</calculatedColumnFormula>
    </tableColumn>
    <tableColumn id="52" xr3:uid="{8A591135-BC80-437E-8015-438F34BEE166}" name="Total Out of Pocket (If Paying Fees):" dataDxfId="23" totalsRowDxfId="24">
      <calculatedColumnFormula>IF(AND(Table269678[[#This Row],[Paying for DMV Fees Out of Pocket?]]="Y",Table269678[[#This Row],[Paying for Admin Fee Out of Pocket? (Y/N):]]="Y"),Table269678[[#This Row],[Admin Fee:]]+Table269678[[#This Row],[DMV Fees Total:]]+Table269678[[#This Row],[Down Payment:]],IF(AND(Table269678[[#This Row],[Paying for DMV Fees Out of Pocket?]]="Y",Table269678[[#This Row],[Paying for Admin Fee Out of Pocket? (Y/N):]]="N"),Table269678[[#This Row],[DMV Fees Total:]]+Table269678[[#This Row],[Down Payment:]],IF(AND(Table269678[[#This Row],[Paying for DMV Fees Out of Pocket?]]="N",Table269678[[#This Row],[Paying for Admin Fee Out of Pocket? (Y/N):]]="Y"),Table269678[[#This Row],[Admin Fee:]]+Table269678[[#This Row],[Down Payment:]],IF(AND(Table269678[[#This Row],[Paying for DMV Fees Out of Pocket?]]="N",Table269678[[#This Row],[Paying for Admin Fee Out of Pocket? (Y/N):]]="N"),Table269678[[#This Row],[Down Payment:]]))))</calculatedColumnFormula>
    </tableColumn>
    <tableColumn id="59" xr3:uid="{59F82DD0-9B63-4AB5-909C-652153831C75}" name="Down Payment % of Sale Price:" dataDxfId="21" totalsRowDxfId="22">
      <calculatedColumnFormula>Table269678[[#This Row],[Down Payment:]]/Table269678[[#This Row],[Dealership Price:]]</calculatedColumnFormula>
    </tableColumn>
    <tableColumn id="61" xr3:uid="{55B3A5AD-973E-433C-9741-B03EC42BDD4F}" name=" Range of APR Dependent on Current Down Payment:" dataDxfId="20" dataCellStyle="Output">
      <calculatedColumnFormula>IF(Table269678[[#This Row],[Down Payment:]]&lt;=0.1*Table269678[[#This Row],[Dealership Price:]],8&amp;"%"&amp;" - "&amp;10&amp;"%",IF(Table269678[[#This Row],[Down Payment:]]&lt;=0.15*Table269678[[#This Row],[Dealership Price:]],7&amp;"%"&amp;" - "&amp;9&amp;"%",IF(Table269678[[#This Row],[Down Payment:]]&lt;=0.2*Table269678[[#This Row],[Dealership Price:]],6.5&amp;"%"&amp;" - "&amp;8&amp;"%",IF(Table269678[[#This Row],[Down Payment:]]&lt;=0.25*Table269678[[#This Row],[Dealership Price:]],5.9&amp;"%"&amp;" - "&amp;7.5&amp;"%",IF(Table269678[[#This Row],[Down Payment:]]&lt;=0.3*Table269678[[#This Row],[Dealership Price:]],5&amp;"%"&amp;" - "&amp;6.5&amp;"%")))))</calculatedColumnFormula>
    </tableColumn>
    <tableColumn id="17" xr3:uid="{0A3CA14C-1D15-4643-8C2F-087B5B73C420}" name="APR (Monthly)" dataDxfId="18" totalsRowDxfId="19">
      <calculatedColumnFormula>Table269678[[#This Row],[Annual Interest Rate/ APR:]]/12</calculatedColumnFormula>
    </tableColumn>
    <tableColumn id="4" xr3:uid="{14BE1EAB-4EBF-4997-961F-977D82DF58FE}" name="Annual Interest Rate/ APR:" dataDxfId="16" totalsRowDxfId="17" dataCellStyle="Output"/>
    <tableColumn id="46" xr3:uid="{FB13E2F4-B8E9-46EC-A68C-5ABA5C57ECD5}" name="New Loan: " dataDxfId="14" totalsRowDxfId="15">
      <calculatedColumnFormula>Table269678[[#This Row],[Net Dealership Price with Sales Tax:]]</calculatedColumnFormula>
    </tableColumn>
    <tableColumn id="51" xr3:uid="{957073E1-B3E3-4A30-916A-11464F5661E4}" name="Current Loan: " dataDxfId="12" totalsRowDxfId="13">
      <calculatedColumnFormula>Table269678[[#This Row],[Loan Pay Off: ]]</calculatedColumnFormula>
    </tableColumn>
    <tableColumn id="35" xr3:uid="{CF584AE6-0521-4436-9E7E-26C2C4B7FC54}" name="End of Term Total Once Car is Paid Off:" dataDxfId="10" totalsRowDxfId="11">
      <calculatedColumnFormula>Table269678[[#This Row],[New Loan: ]] &amp;" + " &amp; ABS(ROUND(Table269678[[#This Row],[Total Interest Paid:]],2)) &amp;" = " &amp; ROUND(Table269678[[#This Row],[New Loan: ]]-Table269678[[#This Row],[Total Interest Paid:]],2)</calculatedColumnFormula>
    </tableColumn>
    <tableColumn id="58" xr3:uid="{2369B22A-3051-4414-8C67-EA7860636A4C}" name="New Loan vs Old Loan: " dataDxfId="8" totalsRowDxfId="9">
      <calculatedColumnFormula>IF(Table269678[[#This Row],[Trading In?]]="N","N/A",IF(Table269678[[#This Row],[New Loan: ]]&gt;Table269678[[#This Row],[Current Loan: ]],"Higher",IF(Table269678[[#This Row],[New Loan: ]]&lt;Table269678[[#This Row],[Current Loan: ]],"Lower")))</calculatedColumnFormula>
    </tableColumn>
    <tableColumn id="55" xr3:uid="{4296CEB3-5834-49C7-9FFE-7A7955B0E72D}" name="New or Used Vehicle?" dataDxfId="6" totalsRowDxfId="7"/>
    <tableColumn id="54" xr3:uid="{DC71233D-4070-4D9F-817C-A9C5E7FCC63E}" name="Credit Score:" dataDxfId="4" totalsRowDxfId="5"/>
    <tableColumn id="65" xr3:uid="{D829477A-A5E1-4BD9-8609-E2B1C6338DDF}" name=" APR Dependent on Credit Score and Vehicle Age:" dataDxfId="2" totalsRowDxfId="3" dataCellStyle="Output">
      <calculatedColumnFormula>IF(AND(Table269678[[#This Row],[Credit Score:]]&gt;=781,Table269678[[#This Row],[New or Used Vehicle?]]="New"),"Super Prime "&amp; 5.18&amp;"%",IF(AND(Table269678[[#This Row],[Credit Score:]]&gt;=781,Table269678[[#This Row],[New or Used Vehicle?]]="Used"),"Super Prime "&amp;6.82&amp;"%",IF(AND(Table269678[[#This Row],[Credit Score:]]&lt;781,Table269678[[#This Row],[Credit Score:]]&gt;=661,Table269678[[#This Row],[New or Used Vehicle?]]="New"),"Prime "&amp;6.7&amp;"%",IF(AND(Table269678[[#This Row],[Credit Score:]]&lt;781,Table269678[[#This Row],[Credit Score:]]&gt;=661,Table269678[[#This Row],[New or Used Vehicle?]]="Used"),"Prime "&amp;9.06&amp;"%",IF(AND(Table269678[[#This Row],[Credit Score:]]&lt;661,Table269678[[#This Row],[Credit Score:]]&gt;=601,Table269678[[#This Row],[New or Used Vehicle?]]="New"),"Near Prime "&amp;9.83&amp;"%",IF(AND(Table269678[[#This Row],[Credit Score:]]&lt;661,Table269678[[#This Row],[Credit Score:]]&gt;=601,Table269678[[#This Row],[New or Used Vehicle?]]="Used"),"Near Prime "&amp;13.74&amp;"%",IF(AND(Table269678[[#This Row],[Credit Score:]]&lt;601,Table269678[[#This Row],[Credit Score:]]&gt;=501,Table269678[[#This Row],[New or Used Vehicle?]]="New"),"Subprime " &amp;13.22&amp;"%",IF(AND(Table269678[[#This Row],[Credit Score:]]&lt;601,Table269678[[#This Row],[Credit Score:]]&gt;=501,Table269678[[#This Row],[New or Used Vehicle?]]="Used"),"Subprime "&amp; 18.99&amp;"%",IF(AND(Table269678[[#This Row],[Credit Score:]]&lt;501,Table269678[[#This Row],[Credit Score:]]&gt;=300,Table269678[[#This Row],[New or Used Vehicle?]]="New"),"Deep Subprime "&amp;15.81&amp;"%",IF(AND(Table269678[[#This Row],[Credit Score:]]&lt;501,Table269678[[#This Row],[Credit Score:]]&gt;=300,Table269678[[#This Row],[New or Used Vehicle?]]="Used"),"Deep Subprime " &amp;21.58&amp;"%"))))))))))</calculatedColumnFormula>
    </tableColumn>
    <tableColumn id="56" xr3:uid="{CE02EC47-397D-48F6-BE5E-BB90C0A23399}" name="Credit Score Rating:" dataDxfId="0" totalsRowDxfId="1">
      <calculatedColumnFormula>IF(Table269678[[#This Row],[Credit Score:]]&lt;580,"Poor",IF(AND(Table269678[[#This Row],[Credit Score:]]&gt;=580,Table269678[[#This Row],[Credit Score:]]&lt;=669),"Fair",IF(AND(Table269678[[#This Row],[Credit Score:]]&gt;669,Table269678[[#This Row],[Credit Score:]]&lt;=699),"Good",IF(AND(Table269678[[#This Row],[Credit Score:]]&gt;699,Table269678[[#This Row],[Credit Score:]]&lt;=739),"Very Good",IF(Table269678[[#This Row],[Credit Score:]]&gt;740,"Exceptional")))))</calculatedColumnFormula>
    </tableColumn>
  </tableColumns>
  <tableStyleInfo name="Summary" showFirstColumn="0" showLastColumn="1" showRowStripes="0" showColumnStripes="0"/>
</table>
</file>

<file path=xl/theme/theme1.xml><?xml version="1.0" encoding="utf-8"?>
<a:theme xmlns:a="http://schemas.openxmlformats.org/drawingml/2006/main" name="Thatch">
  <a:themeElements>
    <a:clrScheme name="Business monthly Budget">
      <a:dk1>
        <a:srgbClr val="000000"/>
      </a:dk1>
      <a:lt1>
        <a:srgbClr val="FFFFFF"/>
      </a:lt1>
      <a:dk2>
        <a:srgbClr val="57999A"/>
      </a:dk2>
      <a:lt2>
        <a:srgbClr val="E7E6E6"/>
      </a:lt2>
      <a:accent1>
        <a:srgbClr val="7DBAB2"/>
      </a:accent1>
      <a:accent2>
        <a:srgbClr val="A9D4BF"/>
      </a:accent2>
      <a:accent3>
        <a:srgbClr val="D4E6CF"/>
      </a:accent3>
      <a:accent4>
        <a:srgbClr val="468282"/>
      </a:accent4>
      <a:accent5>
        <a:srgbClr val="89CCC3"/>
      </a:accent5>
      <a:accent6>
        <a:srgbClr val="E0F5DB"/>
      </a:accent6>
      <a:hlink>
        <a:srgbClr val="0563C1"/>
      </a:hlink>
      <a:folHlink>
        <a:srgbClr val="954F72"/>
      </a:folHlink>
    </a:clrScheme>
    <a:fontScheme name="Small Business Budget">
      <a:majorFont>
        <a:latin typeface="Gill Sans MT"/>
        <a:ea typeface=""/>
        <a:cs typeface=""/>
      </a:majorFont>
      <a:minorFont>
        <a:latin typeface="Gill Sans MT"/>
        <a:ea typeface=""/>
        <a:cs typeface=""/>
      </a:minorFont>
    </a:fontScheme>
    <a:fmtScheme name="Thatch">
      <a:fillStyleLst>
        <a:solidFill>
          <a:schemeClr val="phClr"/>
        </a:solidFill>
        <a:gradFill rotWithShape="1">
          <a:gsLst>
            <a:gs pos="0">
              <a:schemeClr val="phClr">
                <a:tint val="79000"/>
                <a:satMod val="180000"/>
              </a:schemeClr>
            </a:gs>
            <a:gs pos="65000">
              <a:schemeClr val="phClr">
                <a:tint val="52000"/>
                <a:satMod val="250000"/>
              </a:schemeClr>
            </a:gs>
            <a:gs pos="100000">
              <a:schemeClr val="phClr">
                <a:tint val="29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9525" cap="flat" cmpd="sng" algn="ctr">
          <a:solidFill>
            <a:schemeClr val="phClr"/>
          </a:solidFill>
          <a:prstDash val="solid"/>
        </a:ln>
        <a:ln w="15875" cap="flat" cmpd="sng" algn="ctr">
          <a:solidFill>
            <a:schemeClr val="phClr"/>
          </a:solidFill>
          <a:prstDash val="solid"/>
        </a:ln>
        <a:ln w="38100" cap="flat" cmpd="sng" algn="ctr">
          <a:solidFill>
            <a:schemeClr val="phClr"/>
          </a:solidFill>
          <a:prstDash val="solid"/>
        </a:ln>
      </a:lnStyleLst>
      <a:effectStyleLst>
        <a:effectStyle>
          <a:effectLst>
            <a:outerShdw blurRad="63500" dist="25400" dir="5400000" rotWithShape="0">
              <a:srgbClr val="000000">
                <a:alpha val="43000"/>
              </a:srgbClr>
            </a:outerShdw>
          </a:effectLst>
        </a:effectStyle>
        <a:effectStyle>
          <a:effectLst>
            <a:outerShdw blurRad="63500" dist="25400" dir="5400000" rotWithShape="0">
              <a:srgbClr val="000000">
                <a:alpha val="43000"/>
              </a:srgbClr>
            </a:outerShdw>
          </a:effectLst>
          <a:scene3d>
            <a:camera prst="orthographicFront">
              <a:rot lat="0" lon="0" rev="0"/>
            </a:camera>
            <a:lightRig rig="brightRoom" dir="t">
              <a:rot lat="0" lon="0" rev="8700000"/>
            </a:lightRig>
          </a:scene3d>
          <a:sp3d contourW="12700" prstMaterial="dkEdge">
            <a:bevelT w="0" h="0" prst="relaxedInset"/>
            <a:contourClr>
              <a:schemeClr val="phClr">
                <a:shade val="65000"/>
                <a:satMod val="150000"/>
              </a:schemeClr>
            </a:contourClr>
          </a:sp3d>
        </a:effectStyle>
        <a:effectStyle>
          <a:effectLst>
            <a:outerShdw blurRad="63500" dist="25400" dir="5400000" rotWithShape="0">
              <a:srgbClr val="000000">
                <a:alpha val="43000"/>
              </a:srgbClr>
            </a:outerShdw>
          </a:effectLst>
          <a:scene3d>
            <a:camera prst="orthographicFront">
              <a:rot lat="0" lon="0" rev="0"/>
            </a:camera>
            <a:lightRig rig="glow" dir="t">
              <a:rot lat="0" lon="0" rev="13200000"/>
            </a:lightRig>
          </a:scene3d>
          <a:sp3d prstMaterial="dkEdge">
            <a:bevelT w="63500" h="50800" prst="relaxedInset"/>
          </a:sp3d>
        </a:effectStyle>
      </a:effectStyleLst>
      <a:bgFillStyleLst>
        <a:solidFill>
          <a:schemeClr val="phClr"/>
        </a:solidFill>
        <a:gradFill rotWithShape="1">
          <a:gsLst>
            <a:gs pos="0">
              <a:schemeClr val="phClr">
                <a:tint val="85000"/>
                <a:shade val="95000"/>
                <a:satMod val="200000"/>
              </a:schemeClr>
            </a:gs>
            <a:gs pos="53000">
              <a:schemeClr val="phClr">
                <a:shade val="60000"/>
                <a:satMod val="220000"/>
              </a:schemeClr>
            </a:gs>
            <a:gs pos="100000">
              <a:schemeClr val="phClr">
                <a:shade val="45000"/>
                <a:satMod val="220000"/>
              </a:schemeClr>
            </a:gs>
          </a:gsLst>
          <a:lin ang="16200000" scaled="0"/>
        </a:gradFill>
        <a:gradFill rotWithShape="1">
          <a:gsLst>
            <a:gs pos="0">
              <a:schemeClr val="phClr">
                <a:tint val="83000"/>
                <a:shade val="97000"/>
                <a:satMod val="230000"/>
              </a:schemeClr>
            </a:gs>
            <a:gs pos="100000">
              <a:schemeClr val="phClr">
                <a:shade val="35000"/>
                <a:satMod val="250000"/>
              </a:schemeClr>
            </a:gs>
          </a:gsLst>
          <a:path path="circle">
            <a:fillToRect l="15000" t="50000" r="85000" b="6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F901E-2488-42CE-9E95-BBFDCBDBF743}">
  <sheetPr>
    <tabColor theme="3" tint="-0.249977111117893"/>
    <pageSetUpPr autoPageBreaks="0" fitToPage="1"/>
  </sheetPr>
  <dimension ref="A1:BK21"/>
  <sheetViews>
    <sheetView showGridLines="0" topLeftCell="J1" zoomScaleNormal="100" workbookViewId="0">
      <selection activeCell="O7" sqref="O7"/>
    </sheetView>
  </sheetViews>
  <sheetFormatPr defaultColWidth="9" defaultRowHeight="16.5" customHeight="1"/>
  <cols>
    <col min="1" max="1" width="4.125" customWidth="1"/>
    <col min="2" max="2" width="28.5" customWidth="1"/>
    <col min="3" max="3" width="25.375" customWidth="1"/>
    <col min="4" max="4" width="27.125" customWidth="1"/>
    <col min="5" max="5" width="17.125" customWidth="1"/>
    <col min="6" max="6" width="18.75" customWidth="1"/>
    <col min="7" max="7" width="17.375" customWidth="1"/>
    <col min="8" max="8" width="23" customWidth="1"/>
    <col min="9" max="9" width="31.625" customWidth="1"/>
    <col min="10" max="10" width="32.875" customWidth="1"/>
    <col min="11" max="11" width="38.25" customWidth="1"/>
    <col min="12" max="12" width="25.25" customWidth="1"/>
    <col min="13" max="13" width="20.625" customWidth="1"/>
    <col min="14" max="14" width="18.75" customWidth="1"/>
    <col min="15" max="15" width="17.375" customWidth="1"/>
    <col min="16" max="16" width="23.125" customWidth="1"/>
    <col min="17" max="17" width="22.125" customWidth="1"/>
    <col min="18" max="18" width="16.25" customWidth="1"/>
    <col min="19" max="19" width="23.875" customWidth="1"/>
    <col min="20" max="20" width="14.5" customWidth="1"/>
    <col min="21" max="21" width="20.875" customWidth="1"/>
    <col min="22" max="22" width="17.625" customWidth="1"/>
    <col min="23" max="24" width="21.375" customWidth="1"/>
    <col min="25" max="25" width="23.375" customWidth="1"/>
    <col min="26" max="26" width="23.875" customWidth="1"/>
    <col min="27" max="27" width="23.375" customWidth="1"/>
    <col min="28" max="28" width="31.5" customWidth="1"/>
    <col min="29" max="29" width="33.875" customWidth="1"/>
    <col min="30" max="31" width="30.375" customWidth="1"/>
    <col min="32" max="32" width="29.625" customWidth="1"/>
    <col min="33" max="33" width="28.75" customWidth="1"/>
    <col min="34" max="34" width="27.5" customWidth="1"/>
    <col min="35" max="35" width="27.625" customWidth="1"/>
    <col min="36" max="36" width="28.875" customWidth="1"/>
    <col min="37" max="37" width="27.125" customWidth="1"/>
    <col min="38" max="38" width="29.125" customWidth="1"/>
    <col min="39" max="39" width="26.625" customWidth="1"/>
    <col min="40" max="40" width="22.5" customWidth="1"/>
    <col min="41" max="41" width="21.125" customWidth="1"/>
    <col min="42" max="42" width="17.75" customWidth="1"/>
    <col min="43" max="43" width="16.125" customWidth="1"/>
    <col min="44" max="44" width="26.875" customWidth="1"/>
    <col min="45" max="45" width="21.25" customWidth="1"/>
    <col min="46" max="46" width="16.875" customWidth="1"/>
    <col min="47" max="47" width="16.125" customWidth="1"/>
    <col min="48" max="48" width="17.5" customWidth="1"/>
    <col min="49" max="49" width="19.75" customWidth="1"/>
    <col min="50" max="50" width="30" customWidth="1"/>
    <col min="51" max="51" width="22.125" customWidth="1"/>
    <col min="52" max="52" width="26.75" customWidth="1"/>
    <col min="53" max="53" width="22.5" customWidth="1"/>
    <col min="54" max="55" width="16.375" customWidth="1"/>
    <col min="56" max="56" width="20.875" customWidth="1"/>
    <col min="57" max="57" width="17.25" customWidth="1"/>
    <col min="58" max="58" width="17.375" customWidth="1"/>
    <col min="59" max="60" width="18.875" customWidth="1"/>
    <col min="61" max="61" width="17" customWidth="1"/>
  </cols>
  <sheetData>
    <row r="1" spans="1:63" ht="118.5" customHeight="1">
      <c r="A1" s="73"/>
      <c r="B1" s="50" t="s">
        <v>0</v>
      </c>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D1" s="66"/>
      <c r="BE1" s="66"/>
      <c r="BF1" s="66"/>
      <c r="BG1" s="66"/>
      <c r="BH1" s="66"/>
      <c r="BI1" s="66"/>
    </row>
    <row r="2" spans="1:63" ht="43.5" customHeight="1">
      <c r="A2" s="73"/>
      <c r="B2" s="50" t="s">
        <v>1</v>
      </c>
      <c r="C2" s="74" t="s">
        <v>2</v>
      </c>
      <c r="D2" s="72"/>
      <c r="E2" s="72"/>
      <c r="F2" s="72"/>
      <c r="G2" s="72"/>
      <c r="H2" s="72"/>
      <c r="I2" s="72"/>
      <c r="J2" s="72"/>
      <c r="K2" s="72"/>
      <c r="L2" s="72"/>
      <c r="M2" s="72"/>
      <c r="N2" s="72"/>
      <c r="O2" s="72"/>
      <c r="P2" s="72"/>
      <c r="Q2" s="72"/>
      <c r="R2" s="72"/>
      <c r="S2" s="72"/>
      <c r="T2" s="72"/>
      <c r="U2" s="72"/>
      <c r="V2" s="72"/>
      <c r="W2" s="72"/>
      <c r="X2" s="72"/>
      <c r="Y2" s="72"/>
      <c r="Z2" s="72"/>
      <c r="AA2" s="72"/>
      <c r="AB2" s="72"/>
      <c r="AC2" s="66"/>
      <c r="AD2" s="66"/>
      <c r="AE2" s="66"/>
      <c r="AF2" s="33" t="s">
        <v>3</v>
      </c>
      <c r="AG2" s="14" t="s">
        <v>4</v>
      </c>
      <c r="AH2" s="14" t="s">
        <v>4</v>
      </c>
      <c r="AI2" s="14" t="s">
        <v>4</v>
      </c>
      <c r="AJ2" s="14" t="s">
        <v>4</v>
      </c>
      <c r="AK2" s="14" t="s">
        <v>4</v>
      </c>
      <c r="AL2" s="14" t="s">
        <v>4</v>
      </c>
      <c r="AM2" s="14" t="s">
        <v>4</v>
      </c>
      <c r="AN2" s="14" t="s">
        <v>4</v>
      </c>
      <c r="AO2" s="70" t="s">
        <v>5</v>
      </c>
      <c r="AP2" s="67"/>
      <c r="AQ2" s="67"/>
      <c r="AR2" s="67"/>
      <c r="AS2" s="67"/>
      <c r="AT2" s="69" t="s">
        <v>6</v>
      </c>
      <c r="AU2" s="64"/>
      <c r="AV2" s="64"/>
      <c r="AW2" s="64"/>
      <c r="AX2" s="64"/>
      <c r="AY2" s="71" t="s">
        <v>7</v>
      </c>
      <c r="AZ2" s="66"/>
      <c r="BA2" s="66"/>
      <c r="BB2" s="66"/>
      <c r="BC2" s="66"/>
      <c r="BD2" s="66"/>
      <c r="BE2" s="66"/>
      <c r="BF2" s="68" t="s">
        <v>8</v>
      </c>
      <c r="BG2" s="65"/>
      <c r="BH2" s="65"/>
      <c r="BI2" s="65"/>
    </row>
    <row r="3" spans="1:63" ht="45.75" customHeight="1">
      <c r="A3" s="73"/>
      <c r="B3" s="72"/>
      <c r="C3" s="72"/>
      <c r="D3" s="72"/>
      <c r="E3" s="72"/>
      <c r="F3" s="72"/>
      <c r="G3" s="72"/>
      <c r="H3" s="72"/>
      <c r="I3" s="72"/>
      <c r="J3" s="72"/>
      <c r="K3" s="72"/>
      <c r="L3" s="72"/>
      <c r="M3" s="72"/>
      <c r="N3" s="72"/>
      <c r="O3" s="72"/>
      <c r="P3" s="72"/>
      <c r="Q3" s="72"/>
      <c r="R3" s="72"/>
      <c r="S3" s="72"/>
      <c r="T3" s="72"/>
      <c r="U3" s="72"/>
      <c r="V3" s="72"/>
      <c r="W3" s="72"/>
      <c r="X3" s="72"/>
      <c r="Y3" s="72"/>
      <c r="Z3" s="72"/>
      <c r="AA3" s="72"/>
      <c r="AB3" s="10" t="s">
        <v>9</v>
      </c>
      <c r="AC3" s="11" t="s">
        <v>10</v>
      </c>
      <c r="AD3" s="11" t="s">
        <v>10</v>
      </c>
      <c r="AE3" s="11" t="s">
        <v>10</v>
      </c>
      <c r="AF3" s="11" t="s">
        <v>10</v>
      </c>
      <c r="AG3" s="12" t="s">
        <v>10</v>
      </c>
      <c r="AH3" s="12" t="s">
        <v>10</v>
      </c>
      <c r="AI3" s="12" t="s">
        <v>10</v>
      </c>
      <c r="AJ3" s="12" t="s">
        <v>10</v>
      </c>
      <c r="AK3" s="12" t="s">
        <v>10</v>
      </c>
      <c r="AL3" s="12" t="s">
        <v>10</v>
      </c>
      <c r="AM3" s="12" t="s">
        <v>10</v>
      </c>
      <c r="AN3" s="12" t="s">
        <v>10</v>
      </c>
      <c r="AO3" s="12" t="s">
        <v>10</v>
      </c>
      <c r="AP3" s="67"/>
      <c r="AQ3" s="67"/>
      <c r="AR3" s="67"/>
      <c r="AS3" s="67"/>
      <c r="AT3" s="67"/>
      <c r="AU3" s="64"/>
      <c r="AV3" s="64"/>
      <c r="AW3" s="64"/>
      <c r="AX3" s="64"/>
      <c r="AY3" s="64"/>
      <c r="AZ3" s="66"/>
      <c r="BA3" s="66"/>
      <c r="BB3" s="66"/>
      <c r="BC3" s="66"/>
      <c r="BD3" s="66"/>
      <c r="BE3" s="66"/>
      <c r="BF3" s="66"/>
      <c r="BG3" s="65"/>
      <c r="BH3" s="65"/>
      <c r="BI3" s="65"/>
    </row>
    <row r="4" spans="1:63" ht="63.75" customHeight="1">
      <c r="A4" s="73"/>
      <c r="B4" s="5" t="s">
        <v>11</v>
      </c>
      <c r="C4" s="5" t="s">
        <v>12</v>
      </c>
      <c r="D4" s="5" t="s">
        <v>13</v>
      </c>
      <c r="E4" s="5" t="s">
        <v>14</v>
      </c>
      <c r="F4" s="5" t="s">
        <v>15</v>
      </c>
      <c r="G4" s="5" t="s">
        <v>16</v>
      </c>
      <c r="H4" s="5" t="s">
        <v>17</v>
      </c>
      <c r="I4" s="5" t="s">
        <v>18</v>
      </c>
      <c r="J4" s="5" t="s">
        <v>19</v>
      </c>
      <c r="K4" s="5" t="s">
        <v>20</v>
      </c>
      <c r="L4" s="5" t="s">
        <v>21</v>
      </c>
      <c r="M4" s="3" t="s">
        <v>22</v>
      </c>
      <c r="N4" s="5" t="s">
        <v>23</v>
      </c>
      <c r="O4" s="4" t="s">
        <v>24</v>
      </c>
      <c r="P4" s="5" t="s">
        <v>25</v>
      </c>
      <c r="Q4" s="5" t="s">
        <v>26</v>
      </c>
      <c r="R4" s="3" t="s">
        <v>27</v>
      </c>
      <c r="S4" s="3" t="s">
        <v>28</v>
      </c>
      <c r="T4" s="3" t="s">
        <v>29</v>
      </c>
      <c r="U4" s="3" t="s">
        <v>30</v>
      </c>
      <c r="V4" s="3" t="s">
        <v>31</v>
      </c>
      <c r="W4" s="3" t="s">
        <v>32</v>
      </c>
      <c r="X4" s="3" t="s">
        <v>33</v>
      </c>
      <c r="Y4" s="3" t="s">
        <v>34</v>
      </c>
      <c r="Z4" s="3" t="s">
        <v>35</v>
      </c>
      <c r="AA4" s="3" t="s">
        <v>36</v>
      </c>
      <c r="AB4" s="3" t="s">
        <v>37</v>
      </c>
      <c r="AC4" s="40" t="s">
        <v>38</v>
      </c>
      <c r="AD4" s="41" t="s">
        <v>39</v>
      </c>
      <c r="AE4" s="41" t="s">
        <v>40</v>
      </c>
      <c r="AF4" s="41" t="s">
        <v>41</v>
      </c>
      <c r="AG4" s="54" t="s">
        <v>42</v>
      </c>
      <c r="AH4" s="32" t="s">
        <v>43</v>
      </c>
      <c r="AI4" s="32" t="s">
        <v>44</v>
      </c>
      <c r="AJ4" s="32" t="s">
        <v>45</v>
      </c>
      <c r="AK4" s="32" t="s">
        <v>46</v>
      </c>
      <c r="AL4" s="32" t="s">
        <v>47</v>
      </c>
      <c r="AM4" s="32" t="s">
        <v>48</v>
      </c>
      <c r="AN4" s="32" t="s">
        <v>49</v>
      </c>
      <c r="AO4" s="52" t="s">
        <v>50</v>
      </c>
      <c r="AP4" s="3" t="s">
        <v>51</v>
      </c>
      <c r="AQ4" s="3" t="s">
        <v>52</v>
      </c>
      <c r="AR4" s="3" t="s">
        <v>53</v>
      </c>
      <c r="AS4" s="3" t="s">
        <v>54</v>
      </c>
      <c r="AT4" s="3" t="s">
        <v>55</v>
      </c>
      <c r="AU4" s="3" t="s">
        <v>56</v>
      </c>
      <c r="AV4" s="5" t="s">
        <v>57</v>
      </c>
      <c r="AW4" s="3" t="s">
        <v>58</v>
      </c>
      <c r="AX4" s="3" t="s">
        <v>59</v>
      </c>
      <c r="AY4" s="3" t="s">
        <v>60</v>
      </c>
      <c r="AZ4" s="3" t="s">
        <v>61</v>
      </c>
      <c r="BA4" s="3" t="s">
        <v>62</v>
      </c>
      <c r="BB4" s="5" t="s">
        <v>63</v>
      </c>
      <c r="BC4" s="5" t="s">
        <v>64</v>
      </c>
      <c r="BD4" s="5" t="s">
        <v>65</v>
      </c>
      <c r="BE4" s="5" t="s">
        <v>66</v>
      </c>
      <c r="BF4" s="5" t="s">
        <v>67</v>
      </c>
      <c r="BG4" s="5" t="s">
        <v>68</v>
      </c>
      <c r="BH4" s="3" t="s">
        <v>69</v>
      </c>
      <c r="BI4" s="5" t="s">
        <v>70</v>
      </c>
    </row>
    <row r="5" spans="1:63" ht="42" customHeight="1">
      <c r="A5" s="73"/>
      <c r="B5" s="51" t="s">
        <v>71</v>
      </c>
      <c r="C5" s="16">
        <v>25790</v>
      </c>
      <c r="D5" s="16" t="s">
        <v>72</v>
      </c>
      <c r="E5" s="23">
        <v>25745</v>
      </c>
      <c r="F5" s="47" t="str">
        <f>IF(C5&gt;E5,"Over","Under")</f>
        <v>Over</v>
      </c>
      <c r="G5" s="46">
        <f>(C5-E5)/E5</f>
        <v>1.7479122159642648E-3</v>
      </c>
      <c r="H5" s="34">
        <f>IF(Table269678[[#This Row],[HUT Tax Exemption?]]&lt;&gt;"N/A",0,IF(Table269678[[#This Row],[Trading In?]]="Y",Table269678[[#This Row],[Net with Trade In (Pre - Tax): ]]*Table269678[[#This Row],[HUT Tax Rate:]],IF(Table269678[[#This Row],[Trading In?]]="N",Table269678[[#This Row],[Net No Trade In (Pre - Tax): ]]*Table269678[[#This Row],[HUT Tax Rate:]])))</f>
        <v>728.69999999999993</v>
      </c>
      <c r="I5" s="19">
        <f>IF(Table269678[[#This Row],[Trading In?]]="Y",Table269678[[#This Row],[Net with Trade In (Pre - Tax): ]]+Table269678[[#This Row],[Sales Tax:]],IF(Table269678[[#This Row],[Trading In?]]="N",Table269678[[#This Row],[Net No Trade In (Pre - Tax): ]]+Table269678[[#This Row],[Sales Tax:]]))</f>
        <v>25018.7</v>
      </c>
      <c r="J5" s="19">
        <f>IF(AND(Table269678[[#This Row],[Paying for Admin Fee Out of Pocket? (Y/N):]]="N",Table269678[[#This Row],[Paying for DMV Fees Out of Pocket?]]="N"),Table269678[[#This Row],[Dealership Price:]]-Table269678[[#This Row],[Savings:]]-Table269678[[#This Row],[Rebate Amount:]]-Table269678[[#This Row],[Down Payment:]]+Table269678[[#This Row],[Admin Fee:]]+Table269678[[#This Row],[DMV Fees Total:]],IF(AND(Table269678[[#This Row],[Paying for Admin Fee Out of Pocket? (Y/N):]]="Y",Table269678[[#This Row],[Paying for DMV Fees Out of Pocket?]]="Y"),Table269678[[#This Row],[Dealership Price:]]-Table269678[[#This Row],[Savings:]]-Table269678[[#This Row],[Rebate Amount:]]-Table269678[[#This Row],[Down Payment:]],IF(AND(Table269678[[#This Row],[Paying for Admin Fee Out of Pocket? (Y/N):]]="Y",Table269678[[#This Row],[Paying for DMV Fees Out of Pocket?]]="N"),Table269678[[#This Row],[Dealership Price:]]+Table269678[[#This Row],[DMV Fees Total:]]-Table269678[[#This Row],[Savings:]]-Table269678[[#This Row],[Rebate Amount:]]-Table269678[[#This Row],[Down Payment:]],IF(AND(Q5="N",Z5="Y"),C5-R5-AQ5-AU5+N5))))</f>
        <v>24290</v>
      </c>
      <c r="K5" s="18" t="str">
        <f>IF(Table269678[[#This Row],[Trading In?]]="N","N/A",IF(AND(Table269678[[#This Row],[Trading In?]]="Y",Table269678[[#This Row],[Paying for Admin Fee Out of Pocket? (Y/N):]]="N"),Table269678[[#This Row],[Dealership Price:]]-Table269678[[#This Row],[Total To be Applied Off of Net Dealership Price After Pay Off, Rebate, Down Payment]]+Table269678[[#This Row],[Admin Fee:]],IF(AND(Table269678[[#This Row],[Trading In?]]="Y",Table269678[[#This Row],[Paying for Admin Fee Out of Pocket? (Y/N):]]="Y"),Table269678[[#This Row],[Dealership Price:]]-Table269678[[#This Row],[Total To be Applied Off of Net Dealership Price After Pay Off, Rebate, Down Payment]])))</f>
        <v>N/A</v>
      </c>
      <c r="L5" s="20" t="s">
        <v>73</v>
      </c>
      <c r="M5" s="42">
        <v>0.03</v>
      </c>
      <c r="N5" s="21">
        <v>799</v>
      </c>
      <c r="O5" s="17">
        <v>84</v>
      </c>
      <c r="P5" s="60">
        <f>PMT(AZ5,O5,Table269678[[#This Row],[Net Dealership Price with Sales Tax:]])</f>
        <v>-373.94077349870946</v>
      </c>
      <c r="Q5" s="24" t="s">
        <v>74</v>
      </c>
      <c r="R5" s="25">
        <v>0</v>
      </c>
      <c r="S5" s="25">
        <v>138</v>
      </c>
      <c r="T5" s="25">
        <f>Table269678[[#This Row],[Net Dealership Price with Sales Tax:]]</f>
        <v>25018.7</v>
      </c>
      <c r="U5" s="43">
        <f>CUMIPMT(AZ5,O5,Table269678[[#This Row],[Net Dealership Price with Sales Tax:]],1,O5,1)</f>
        <v>-6217.9205093808887</v>
      </c>
      <c r="V5" s="30">
        <v>66.75</v>
      </c>
      <c r="W5" s="30">
        <v>46.25</v>
      </c>
      <c r="X5" s="30">
        <v>102.42</v>
      </c>
      <c r="Y5" s="30">
        <f>Table269678[[#This Row],[Property Tax:]]+Table269678[[#This Row],[Registration Fee (For a Vehicle of Type "Car"):]]+Table269678[[#This Row],[One Time Title Fee:]]</f>
        <v>215.42000000000002</v>
      </c>
      <c r="Z5" s="30" t="s">
        <v>74</v>
      </c>
      <c r="AA5" s="25" t="s">
        <v>75</v>
      </c>
      <c r="AB5" s="27">
        <f>Table269678[[#This Row],[DMV Fees Total:]]+Table269678[[#This Row],[Non Tax Fees/ Other Fees:]]+Table269678[[#This Row],[Admin Fee:]]</f>
        <v>1152.42</v>
      </c>
      <c r="AC5" s="7" t="s">
        <v>75</v>
      </c>
      <c r="AD5" s="8" t="str">
        <f>IF(Table269678[[#This Row],[Trading In?]]="N","")</f>
        <v/>
      </c>
      <c r="AE5" s="8" t="str">
        <f>IF(Table269678[[#This Row],[Trading In?]]="N","")</f>
        <v/>
      </c>
      <c r="AF5" s="8" t="str">
        <f>IF(Table269678[[#This Row],[Trading In?]]="N","N/A",IF(Table269678[[#This Row],[Trading In?]]="Y",Table269678[[#This Row],[Dealer Offer For Trade In:]]-Table269678[[#This Row],[Loan Pay Off: ]]+Table269678[[#This Row],[Rebate Amount:]]+Table269678[[#This Row],[Down Payment:]]))</f>
        <v>N/A</v>
      </c>
      <c r="AG5" s="9"/>
      <c r="AH5" s="13"/>
      <c r="AI5" s="29"/>
      <c r="AJ5" s="29"/>
      <c r="AK5" s="29"/>
      <c r="AL5" s="29"/>
      <c r="AM5" s="29"/>
      <c r="AN5" s="29"/>
      <c r="AO5" s="53" t="str">
        <f>IF(Table269678[[#This Row],[Trading In?]]="N","N/A",IF(Table269678[[#This Row],[Trading In?]]="Y",ROUND(((Table269678[[#This Row],[Dealer Offer For Trade In:]]/Table269678[[#This Row],[KBB Selling:]]) - 1)* 100,2) &amp; " % " &amp; "/ " &amp; ROUND(((Table269678[[#This Row],[Dealer Offer For Trade In:]]/Table269678[[#This Row],[KBB Trading:]]) -1)* 100,2) &amp; "%"))</f>
        <v>N/A</v>
      </c>
      <c r="AP5" s="28" t="s">
        <v>74</v>
      </c>
      <c r="AQ5" s="28">
        <v>500</v>
      </c>
      <c r="AR5" s="15" t="s">
        <v>76</v>
      </c>
      <c r="AS5" s="15" t="s">
        <v>77</v>
      </c>
      <c r="AT5" s="15" t="str">
        <f>IF(AP5="N","",B5)</f>
        <v>2026 Honda Civic LX</v>
      </c>
      <c r="AU5" s="36">
        <v>1000</v>
      </c>
      <c r="AV5" s="75" t="str">
        <f>IF(Table269678[[#This Row],[Term: ]]=36,"$"&amp;ROUNDUP(0.1*Table269678[[#This Row],[Dealership Price:]],0)&amp; "-"&amp;"$"&amp;ROUNDUP(0.15*Table269678[[#This Row],[Dealership Price:]],0),IF(Table269678[[#This Row],[Term: ]]=48,"$"&amp;ROUNDUP(0.15*Table269678[[#This Row],[Dealership Price:]],0)&amp;" - "&amp;"$"&amp;ROUNDUP(0.2*Table269678[[#This Row],[Dealership Price:]],0),IF(Table269678[[#This Row],[Term: ]]=60,"$"&amp;ROUNDUP(0.2*Table269678[[#This Row],[Dealership Price:]],0)&amp;" - "&amp;"$"&amp;ROUNDUP(0.25*Table269678[[#This Row],[Dealership Price:]],0),IF(Table269678[[#This Row],[Term: ]]=72,"$"&amp;ROUNDUP(0.25*Table269678[[#This Row],[Dealership Price:]],0)&amp;" - " &amp;"$"&amp;ROUNDUP(0.3*Table269678[[#This Row],[Dealership Price:]],0),IF(Table269678[[#This Row],[Term: ]]=84,"$"&amp;ROUNDUP(0.3*Table269678[[#This Row],[Dealership Price:]],0)&amp;" or More")))))</f>
        <v>$7737 or More</v>
      </c>
      <c r="AW5" s="36">
        <f>IF(AND(Table269678[[#This Row],[Paying for DMV Fees Out of Pocket?]]="Y",Table269678[[#This Row],[Paying for Admin Fee Out of Pocket? (Y/N):]]="Y"),Table269678[[#This Row],[Admin Fee:]]+Table269678[[#This Row],[DMV Fees Total:]]+Table269678[[#This Row],[Down Payment:]],IF(AND(Table269678[[#This Row],[Paying for DMV Fees Out of Pocket?]]="Y",Table269678[[#This Row],[Paying for Admin Fee Out of Pocket? (Y/N):]]="N"),Table269678[[#This Row],[DMV Fees Total:]]+Table269678[[#This Row],[Down Payment:]],IF(AND(Table269678[[#This Row],[Paying for DMV Fees Out of Pocket?]]="N",Table269678[[#This Row],[Paying for Admin Fee Out of Pocket? (Y/N):]]="Y"),Table269678[[#This Row],[Admin Fee:]]+Table269678[[#This Row],[Down Payment:]],IF(AND(Table269678[[#This Row],[Paying for DMV Fees Out of Pocket?]]="N",Table269678[[#This Row],[Paying for Admin Fee Out of Pocket? (Y/N):]]="N"),Table269678[[#This Row],[Down Payment:]]))))</f>
        <v>2014.42</v>
      </c>
      <c r="AX5" s="77">
        <f>Table269678[[#This Row],[Down Payment:]]/Table269678[[#This Row],[Dealership Price:]]</f>
        <v>3.8774718883288095E-2</v>
      </c>
      <c r="AY5" s="80" t="str">
        <f>IF(Table269678[[#This Row],[Down Payment:]]&lt;=0.1*Table269678[[#This Row],[Dealership Price:]],8&amp;"%"&amp;" - "&amp;10&amp;"%",IF(Table269678[[#This Row],[Down Payment:]]&lt;=0.15*Table269678[[#This Row],[Dealership Price:]],7&amp;"%"&amp;" - "&amp;9&amp;"%",IF(Table269678[[#This Row],[Down Payment:]]&lt;=0.2*Table269678[[#This Row],[Dealership Price:]],6.5&amp;"%"&amp;" - "&amp;8&amp;"%",IF(Table269678[[#This Row],[Down Payment:]]&lt;=0.25*Table269678[[#This Row],[Dealership Price:]],5.9&amp;"%"&amp;" - "&amp;7.5&amp;"%",IF(Table269678[[#This Row],[Down Payment:]]&lt;=0.3*Table269678[[#This Row],[Dealership Price:]],5&amp;"%"&amp;" - "&amp;6.5&amp;"%")))))</f>
        <v>8% - 10%</v>
      </c>
      <c r="AZ5" s="38">
        <f>Table269678[[#This Row],[Annual Interest Rate/ APR:]]/12</f>
        <v>5.5833333333333334E-3</v>
      </c>
      <c r="BA5" s="62">
        <v>6.7000000000000004E-2</v>
      </c>
      <c r="BB5" s="45">
        <f>Table269678[[#This Row],[Net Dealership Price with Sales Tax:]]</f>
        <v>25018.7</v>
      </c>
      <c r="BC5" s="45" t="str">
        <f>Table269678[[#This Row],[Loan Pay Off: ]]</f>
        <v/>
      </c>
      <c r="BD5" s="56" t="str">
        <f>Table269678[[#This Row],[New Loan: ]] &amp;" + " &amp; ABS(ROUND(Table269678[[#This Row],[Total Interest Paid:]],2)) &amp;" = " &amp; ROUND(Table269678[[#This Row],[New Loan: ]]-Table269678[[#This Row],[Total Interest Paid:]],2)</f>
        <v>25018.7 + 6217.92 = 31236.62</v>
      </c>
      <c r="BE5" s="83" t="str">
        <f>IF(Table269678[[#This Row],[Trading In?]]="N","N/A",IF(Table269678[[#This Row],[New Loan: ]]&gt;Table269678[[#This Row],[Current Loan: ]],"Higher",IF(Table269678[[#This Row],[New Loan: ]]&lt;Table269678[[#This Row],[Current Loan: ]],"Lower")))</f>
        <v>N/A</v>
      </c>
      <c r="BF5" s="83" t="s">
        <v>78</v>
      </c>
      <c r="BG5" s="84">
        <v>700</v>
      </c>
      <c r="BH5" s="80" t="str">
        <f>IF(AND(Table269678[[#This Row],[Credit Score:]]&gt;=781,Table269678[[#This Row],[New or Used Vehicle?]]="New"),"Super Prime "&amp; 5.18&amp;"%",IF(AND(Table269678[[#This Row],[Credit Score:]]&gt;=781,Table269678[[#This Row],[New or Used Vehicle?]]="Used"),"Super Prime "&amp;6.82&amp;"%",IF(AND(Table269678[[#This Row],[Credit Score:]]&lt;781,Table269678[[#This Row],[Credit Score:]]&gt;=661,Table269678[[#This Row],[New or Used Vehicle?]]="New"),"Prime "&amp;6.7&amp;"%",IF(AND(Table269678[[#This Row],[Credit Score:]]&lt;781,Table269678[[#This Row],[Credit Score:]]&gt;=661,Table269678[[#This Row],[New or Used Vehicle?]]="Used"),"Prime "&amp;9.06&amp;"%",IF(AND(Table269678[[#This Row],[Credit Score:]]&lt;661,Table269678[[#This Row],[Credit Score:]]&gt;=601,Table269678[[#This Row],[New or Used Vehicle?]]="New"),"Near Prime "&amp;9.83&amp;"%",IF(AND(Table269678[[#This Row],[Credit Score:]]&lt;661,Table269678[[#This Row],[Credit Score:]]&gt;=601,Table269678[[#This Row],[New or Used Vehicle?]]="Used"),"Near Prime "&amp;13.74&amp;"%",IF(AND(Table269678[[#This Row],[Credit Score:]]&lt;601,Table269678[[#This Row],[Credit Score:]]&gt;=501,Table269678[[#This Row],[New or Used Vehicle?]]="New"),"Subprime " &amp;13.22&amp;"%",IF(AND(Table269678[[#This Row],[Credit Score:]]&lt;601,Table269678[[#This Row],[Credit Score:]]&gt;=501,Table269678[[#This Row],[New or Used Vehicle?]]="Used"),"Subprime "&amp; 18.99&amp;"%",IF(AND(Table269678[[#This Row],[Credit Score:]]&lt;501,Table269678[[#This Row],[Credit Score:]]&gt;=300,Table269678[[#This Row],[New or Used Vehicle?]]="New"),"Deep Subprime "&amp;15.81&amp;"%",IF(AND(Table269678[[#This Row],[Credit Score:]]&lt;501,Table269678[[#This Row],[Credit Score:]]&gt;=300,Table269678[[#This Row],[New or Used Vehicle?]]="Used"),"Deep Subprime " &amp;21.58&amp;"%"))))))))))</f>
        <v>Prime 9.06%</v>
      </c>
      <c r="BI5" s="76" t="str">
        <f>IF(Table269678[[#This Row],[Credit Score:]]&lt;580,"Poor",IF(AND(Table269678[[#This Row],[Credit Score:]]&gt;=580,Table269678[[#This Row],[Credit Score:]]&lt;=669),"Fair",IF(AND(Table269678[[#This Row],[Credit Score:]]&gt;669,Table269678[[#This Row],[Credit Score:]]&lt;=699),"Good",IF(AND(Table269678[[#This Row],[Credit Score:]]&gt;699,Table269678[[#This Row],[Credit Score:]]&lt;=739),"Very Good",IF(Table269678[[#This Row],[Credit Score:]]&gt;740,"Exceptional")))))</f>
        <v>Very Good</v>
      </c>
    </row>
    <row r="6" spans="1:63" ht="43.5" customHeight="1">
      <c r="A6" s="73"/>
      <c r="B6" s="51" t="s">
        <v>79</v>
      </c>
      <c r="C6" s="23">
        <v>27627</v>
      </c>
      <c r="D6" s="23" t="s">
        <v>80</v>
      </c>
      <c r="E6" s="23">
        <v>28705</v>
      </c>
      <c r="F6" s="47" t="str">
        <f>IF(C6&gt;E6,"Over","Under")</f>
        <v>Under</v>
      </c>
      <c r="G6" s="46">
        <f t="shared" ref="G6:G11" si="0">(C6-E6)/E6</f>
        <v>-3.7554433025605294E-2</v>
      </c>
      <c r="H6" s="34">
        <f>IF(Table269678[[#This Row],[HUT Tax Exemption?]]&lt;&gt;"N/A",0,IF(Table269678[[#This Row],[Trading In?]]="Y",Table269678[[#This Row],[Net with Trade In (Pre - Tax): ]]*Table269678[[#This Row],[HUT Tax Rate:]],IF(Table269678[[#This Row],[Trading In?]]="N",Table269678[[#This Row],[Net No Trade In (Pre - Tax): ]]*Table269678[[#This Row],[HUT Tax Rate:]])))</f>
        <v>859.23</v>
      </c>
      <c r="I6" s="19">
        <f>IF(Table269678[[#This Row],[Trading In?]]="Y",Table269678[[#This Row],[Net with Trade In (Pre - Tax): ]]+Table269678[[#This Row],[Sales Tax:]],IF(Table269678[[#This Row],[Trading In?]]="N",Table269678[[#This Row],[Net No Trade In (Pre - Tax): ]]+Table269678[[#This Row],[Sales Tax:]]))</f>
        <v>29500.23</v>
      </c>
      <c r="J6" s="19">
        <f>IF(AND(Table269678[[#This Row],[Paying for Admin Fee Out of Pocket? (Y/N):]]="N",Table269678[[#This Row],[Paying for DMV Fees Out of Pocket?]]="N"),Table269678[[#This Row],[Dealership Price:]]-Table269678[[#This Row],[Savings:]]-Table269678[[#This Row],[Rebate Amount:]]-Table269678[[#This Row],[Down Payment:]]+Table269678[[#This Row],[Admin Fee:]]+Table269678[[#This Row],[DMV Fees Total:]],IF(AND(Table269678[[#This Row],[Paying for Admin Fee Out of Pocket? (Y/N):]]="Y",Table269678[[#This Row],[Paying for DMV Fees Out of Pocket?]]="Y"),Table269678[[#This Row],[Dealership Price:]]-Table269678[[#This Row],[Savings:]]-Table269678[[#This Row],[Rebate Amount:]]-Table269678[[#This Row],[Down Payment:]],IF(AND(Table269678[[#This Row],[Paying for Admin Fee Out of Pocket? (Y/N):]]="Y",Table269678[[#This Row],[Paying for DMV Fees Out of Pocket?]]="N"),Table269678[[#This Row],[Dealership Price:]]+Table269678[[#This Row],[DMV Fees Total:]]-Table269678[[#This Row],[Savings:]]-Table269678[[#This Row],[Rebate Amount:]]-Table269678[[#This Row],[Down Payment:]],IF(AND(Q6="N",Z6="Y"),C6-R6-AQ6-AU6+N6))))</f>
        <v>28641</v>
      </c>
      <c r="K6" s="18" t="str">
        <f>IF(Table269678[[#This Row],[Trading In?]]="N","N/A",IF(AND(Table269678[[#This Row],[Trading In?]]="Y",Table269678[[#This Row],[Paying for Admin Fee Out of Pocket? (Y/N):]]="N"),Table269678[[#This Row],[Dealership Price:]]-Table269678[[#This Row],[Total To be Applied Off of Net Dealership Price After Pay Off, Rebate, Down Payment]]+Table269678[[#This Row],[Admin Fee:]],IF(AND(Table269678[[#This Row],[Trading In?]]="Y",Table269678[[#This Row],[Paying for Admin Fee Out of Pocket? (Y/N):]]="Y"),Table269678[[#This Row],[Dealership Price:]]-Table269678[[#This Row],[Total To be Applied Off of Net Dealership Price After Pay Off, Rebate, Down Payment]])))</f>
        <v>N/A</v>
      </c>
      <c r="L6" s="21" t="s">
        <v>73</v>
      </c>
      <c r="M6" s="42">
        <v>0.03</v>
      </c>
      <c r="N6" s="21">
        <v>799</v>
      </c>
      <c r="O6" s="22">
        <v>96</v>
      </c>
      <c r="P6" s="61">
        <f>PMT(AZ6,O6,Table269678[[#This Row],[Net Dealership Price with Sales Tax:]])</f>
        <v>-369.96937621230927</v>
      </c>
      <c r="Q6" s="26" t="s">
        <v>74</v>
      </c>
      <c r="R6" s="27">
        <v>0</v>
      </c>
      <c r="S6" s="27">
        <v>138</v>
      </c>
      <c r="T6" s="27">
        <f>Table269678[[#This Row],[Net Dealership Price with Sales Tax:]]</f>
        <v>29500.23</v>
      </c>
      <c r="U6" s="44">
        <f>CUMIPMT(AZ6,O6,Table269678[[#This Row],[Net Dealership Price with Sales Tax:]],1,O6,1)</f>
        <v>-5876.7960549143208</v>
      </c>
      <c r="V6" s="31">
        <v>66.75</v>
      </c>
      <c r="W6" s="31">
        <v>46.25</v>
      </c>
      <c r="X6" s="31">
        <v>102.42</v>
      </c>
      <c r="Y6" s="31">
        <f>Table269678[[#This Row],[Property Tax:]]+Table269678[[#This Row],[Registration Fee (For a Vehicle of Type "Car"):]]+Table269678[[#This Row],[One Time Title Fee:]]</f>
        <v>215.42000000000002</v>
      </c>
      <c r="Z6" s="31" t="s">
        <v>74</v>
      </c>
      <c r="AA6" s="27" t="s">
        <v>75</v>
      </c>
      <c r="AB6" s="27">
        <f>Table269678[[#This Row],[DMV Fees Total:]]+Table269678[[#This Row],[Non Tax Fees/ Other Fees:]]+Table269678[[#This Row],[Admin Fee:]]</f>
        <v>1152.42</v>
      </c>
      <c r="AC6" s="7" t="s">
        <v>75</v>
      </c>
      <c r="AD6" s="8"/>
      <c r="AE6" s="8"/>
      <c r="AF6" s="9" t="str">
        <f>IF(Table269678[[#This Row],[Trading In?]]="N","N/A",IF(Table269678[[#This Row],[Trading In?]]="Y",Table269678[[#This Row],[Dealer Offer For Trade In:]]-Table269678[[#This Row],[Loan Pay Off: ]]+Table269678[[#This Row],[Rebate Amount:]]+Table269678[[#This Row],[Down Payment:]]))</f>
        <v>N/A</v>
      </c>
      <c r="AG6" s="9" t="s">
        <v>81</v>
      </c>
      <c r="AH6" s="13"/>
      <c r="AI6" s="13">
        <v>19800</v>
      </c>
      <c r="AJ6" s="13">
        <v>18250</v>
      </c>
      <c r="AK6" s="13"/>
      <c r="AL6" s="13"/>
      <c r="AM6" s="13"/>
      <c r="AN6" s="13"/>
      <c r="AO6" s="53" t="str">
        <f>IF(Table269678[[#This Row],[Trading In?]]="N","N/A",IF(Table269678[[#This Row],[Trading In?]]="Y",ROUND(((Table269678[[#This Row],[Dealer Offer For Trade In:]]/Table269678[[#This Row],[KBB Selling:]]) - 1)* 100,2) &amp; " % " &amp; "/ " &amp; ROUND(((Table269678[[#This Row],[Dealer Offer For Trade In:]]/Table269678[[#This Row],[KBB Trading:]]) -1)* 100,2) &amp; "%"))</f>
        <v>N/A</v>
      </c>
      <c r="AP6" s="15" t="s">
        <v>75</v>
      </c>
      <c r="AQ6" s="15">
        <v>0</v>
      </c>
      <c r="AR6" s="15"/>
      <c r="AS6" s="15"/>
      <c r="AT6" s="15" t="str">
        <f>IF(AP6="N","",B6)</f>
        <v/>
      </c>
      <c r="AU6" s="37">
        <v>-1014</v>
      </c>
      <c r="AV6" s="75" t="b">
        <f>IF(Table269678[[#This Row],[Term: ]]=36,"$"&amp;ROUNDUP(0.1*Table269678[[#This Row],[Dealership Price:]],0)&amp; "-"&amp;"$"&amp;ROUNDUP(0.15*Table269678[[#This Row],[Dealership Price:]],0),IF(Table269678[[#This Row],[Term: ]]=48,"$"&amp;ROUNDUP(0.15*Table269678[[#This Row],[Dealership Price:]],0)&amp;" - "&amp;"$"&amp;ROUNDUP(0.2*Table269678[[#This Row],[Dealership Price:]],0),IF(Table269678[[#This Row],[Term: ]]=60,"$"&amp;ROUNDUP(0.2*Table269678[[#This Row],[Dealership Price:]],0)&amp;" - "&amp;"$"&amp;ROUNDUP(0.25*Table269678[[#This Row],[Dealership Price:]],0),IF(Table269678[[#This Row],[Term: ]]=72,"$"&amp;ROUNDUP(0.25*Table269678[[#This Row],[Dealership Price:]],0)&amp;" - " &amp;"$"&amp;ROUNDUP(0.3*Table269678[[#This Row],[Dealership Price:]],0),IF(Table269678[[#This Row],[Term: ]]=84,"$"&amp;ROUNDUP(0.3*Table269678[[#This Row],[Dealership Price:]],0)&amp;" or More")))))</f>
        <v>0</v>
      </c>
      <c r="AW6" s="37">
        <f>IF(AND(Table269678[[#This Row],[Paying for DMV Fees Out of Pocket?]]="Y",Table269678[[#This Row],[Paying for Admin Fee Out of Pocket? (Y/N):]]="Y"),Table269678[[#This Row],[Admin Fee:]]+Table269678[[#This Row],[DMV Fees Total:]]+Table269678[[#This Row],[Down Payment:]],IF(AND(Table269678[[#This Row],[Paying for DMV Fees Out of Pocket?]]="Y",Table269678[[#This Row],[Paying for Admin Fee Out of Pocket? (Y/N):]]="N"),Table269678[[#This Row],[DMV Fees Total:]]+Table269678[[#This Row],[Down Payment:]],IF(AND(Table269678[[#This Row],[Paying for DMV Fees Out of Pocket?]]="N",Table269678[[#This Row],[Paying for Admin Fee Out of Pocket? (Y/N):]]="Y"),Table269678[[#This Row],[Admin Fee:]]+Table269678[[#This Row],[Down Payment:]],IF(AND(Table269678[[#This Row],[Paying for DMV Fees Out of Pocket?]]="N",Table269678[[#This Row],[Paying for Admin Fee Out of Pocket? (Y/N):]]="N"),Table269678[[#This Row],[Down Payment:]]))))</f>
        <v>0.42000000000007276</v>
      </c>
      <c r="AX6" s="78">
        <f>Table269678[[#This Row],[Down Payment:]]/Table269678[[#This Row],[Dealership Price:]]</f>
        <v>-3.670322510587469E-2</v>
      </c>
      <c r="AY6" s="81" t="str">
        <f>IF(Table269678[[#This Row],[Down Payment:]]&lt;=0.1*Table269678[[#This Row],[Dealership Price:]],8&amp;"%"&amp;" - "&amp;10&amp;"%",IF(Table269678[[#This Row],[Down Payment:]]&lt;=0.15*Table269678[[#This Row],[Dealership Price:]],7&amp;"%"&amp;" - "&amp;9&amp;"%",IF(Table269678[[#This Row],[Down Payment:]]&lt;=0.2*Table269678[[#This Row],[Dealership Price:]],6.5&amp;"%"&amp;" - "&amp;8&amp;"%",IF(Table269678[[#This Row],[Down Payment:]]&lt;=0.25*Table269678[[#This Row],[Dealership Price:]],5.9&amp;"%"&amp;" - "&amp;7.5&amp;"%",IF(Table269678[[#This Row],[Down Payment:]]&lt;=0.3*Table269678[[#This Row],[Dealership Price:]],5&amp;"%"&amp;" - "&amp;6.5&amp;"%")))))</f>
        <v>8% - 10%</v>
      </c>
      <c r="AZ6" s="39">
        <f>Table269678[[#This Row],[Annual Interest Rate/ APR:]]/12</f>
        <v>3.9583333333333337E-3</v>
      </c>
      <c r="BA6" s="62">
        <v>4.7500000000000001E-2</v>
      </c>
      <c r="BB6" s="49">
        <f>Table269678[[#This Row],[Net Dealership Price with Sales Tax:]]</f>
        <v>29500.23</v>
      </c>
      <c r="BC6" s="49">
        <f>Table269678[[#This Row],[Loan Pay Off: ]]</f>
        <v>0</v>
      </c>
      <c r="BD6" s="56" t="str">
        <f>Table269678[[#This Row],[New Loan: ]] &amp;" + " &amp; ABS(ROUND(Table269678[[#This Row],[Total Interest Paid:]],2)) &amp;" = " &amp; ROUND(Table269678[[#This Row],[New Loan: ]]-Table269678[[#This Row],[Total Interest Paid:]],2)</f>
        <v>29500.23 + 5876.8 = 35377.03</v>
      </c>
      <c r="BE6" s="83" t="str">
        <f>IF(Table269678[[#This Row],[Trading In?]]="N","N/A",IF(Table269678[[#This Row],[New Loan: ]]&gt;Table269678[[#This Row],[Current Loan: ]],"Higher",IF(Table269678[[#This Row],[New Loan: ]]&lt;Table269678[[#This Row],[Current Loan: ]],"Lower")))</f>
        <v>N/A</v>
      </c>
      <c r="BF6" s="83" t="s">
        <v>82</v>
      </c>
      <c r="BG6" s="84">
        <v>690</v>
      </c>
      <c r="BH6" s="80" t="str">
        <f>IF(AND(Table269678[[#This Row],[Credit Score:]]&gt;=781,Table269678[[#This Row],[New or Used Vehicle?]]="New"),"Super Prime "&amp; 5.18&amp;"%",IF(AND(Table269678[[#This Row],[Credit Score:]]&gt;=781,Table269678[[#This Row],[New or Used Vehicle?]]="Used"),"Super Prime "&amp;6.82&amp;"%",IF(AND(Table269678[[#This Row],[Credit Score:]]&lt;781,Table269678[[#This Row],[Credit Score:]]&gt;=661,Table269678[[#This Row],[New or Used Vehicle?]]="New"),"Prime "&amp;6.7&amp;"%",IF(AND(Table269678[[#This Row],[Credit Score:]]&lt;781,Table269678[[#This Row],[Credit Score:]]&gt;=661,Table269678[[#This Row],[New or Used Vehicle?]]="Used"),"Prime "&amp;9.06&amp;"%",IF(AND(Table269678[[#This Row],[Credit Score:]]&lt;661,Table269678[[#This Row],[Credit Score:]]&gt;=601,Table269678[[#This Row],[New or Used Vehicle?]]="New"),"Near Prime "&amp;9.83&amp;"%",IF(AND(Table269678[[#This Row],[Credit Score:]]&lt;661,Table269678[[#This Row],[Credit Score:]]&gt;=601,Table269678[[#This Row],[New or Used Vehicle?]]="Used"),"Near Prime "&amp;13.74&amp;"%",IF(AND(Table269678[[#This Row],[Credit Score:]]&lt;601,Table269678[[#This Row],[Credit Score:]]&gt;=501,Table269678[[#This Row],[New or Used Vehicle?]]="New"),"Subprime " &amp;13.22&amp;"%",IF(AND(Table269678[[#This Row],[Credit Score:]]&lt;601,Table269678[[#This Row],[Credit Score:]]&gt;=501,Table269678[[#This Row],[New or Used Vehicle?]]="Used"),"Subprime "&amp; 18.99&amp;"%",IF(AND(Table269678[[#This Row],[Credit Score:]]&lt;501,Table269678[[#This Row],[Credit Score:]]&gt;=300,Table269678[[#This Row],[New or Used Vehicle?]]="New"),"Deep Subprime "&amp;15.81&amp;"%",IF(AND(Table269678[[#This Row],[Credit Score:]]&lt;501,Table269678[[#This Row],[Credit Score:]]&gt;=300,Table269678[[#This Row],[New or Used Vehicle?]]="Used"),"Deep Subprime " &amp;21.58&amp;"%"))))))))))</f>
        <v>Prime 6.7%</v>
      </c>
      <c r="BI6" s="76" t="str">
        <f>IF(Table269678[[#This Row],[Credit Score:]]&lt;580,"Poor",IF(AND(Table269678[[#This Row],[Credit Score:]]&gt;=580,Table269678[[#This Row],[Credit Score:]]&lt;=669),"Fair",IF(AND(Table269678[[#This Row],[Credit Score:]]&gt;669,Table269678[[#This Row],[Credit Score:]]&lt;=699),"Good",IF(AND(Table269678[[#This Row],[Credit Score:]]&gt;699,Table269678[[#This Row],[Credit Score:]]&lt;=739),"Very Good",IF(Table269678[[#This Row],[Credit Score:]]&gt;740,"Exceptional")))))</f>
        <v>Good</v>
      </c>
    </row>
    <row r="7" spans="1:63" ht="47.25" customHeight="1">
      <c r="A7" s="73"/>
      <c r="B7" s="51" t="s">
        <v>83</v>
      </c>
      <c r="C7" s="23">
        <v>23809</v>
      </c>
      <c r="D7" s="23" t="s">
        <v>84</v>
      </c>
      <c r="E7" s="23">
        <v>22325</v>
      </c>
      <c r="F7" s="47" t="str">
        <f>IF(C7&gt;E7,"Over","Under")</f>
        <v>Over</v>
      </c>
      <c r="G7" s="46">
        <f t="shared" si="0"/>
        <v>6.6472564389697647E-2</v>
      </c>
      <c r="H7" s="35">
        <f>IF(Table269678[[#This Row],[HUT Tax Exemption?]]&lt;&gt;"N/A",0,IF(Table269678[[#This Row],[Trading In?]]="Y",Table269678[[#This Row],[Net with Trade In (Pre - Tax): ]]*Table269678[[#This Row],[HUT Tax Rate:]],IF(Table269678[[#This Row],[Trading In?]]="N",Table269678[[#This Row],[Net No Trade In (Pre - Tax): ]]*Table269678[[#This Row],[HUT Tax Rate:]])))</f>
        <v>729.68999999999994</v>
      </c>
      <c r="I7" s="19">
        <f>IF(Table269678[[#This Row],[Trading In?]]="Y",Table269678[[#This Row],[Net with Trade In (Pre - Tax): ]]+Table269678[[#This Row],[Sales Tax:]],IF(Table269678[[#This Row],[Trading In?]]="N",Table269678[[#This Row],[Net No Trade In (Pre - Tax): ]]+Table269678[[#This Row],[Sales Tax:]]))</f>
        <v>25052.69</v>
      </c>
      <c r="J7" s="19">
        <f>IF(AND(Table269678[[#This Row],[Paying for Admin Fee Out of Pocket? (Y/N):]]="N",Table269678[[#This Row],[Paying for DMV Fees Out of Pocket?]]="N"),Table269678[[#This Row],[Dealership Price:]]-Table269678[[#This Row],[Savings:]]-Table269678[[#This Row],[Rebate Amount:]]-Table269678[[#This Row],[Down Payment:]]+Table269678[[#This Row],[Admin Fee:]]+Table269678[[#This Row],[DMV Fees Total:]],IF(AND(Table269678[[#This Row],[Paying for Admin Fee Out of Pocket? (Y/N):]]="Y",Table269678[[#This Row],[Paying for DMV Fees Out of Pocket?]]="Y"),Table269678[[#This Row],[Dealership Price:]]-Table269678[[#This Row],[Savings:]]-Table269678[[#This Row],[Rebate Amount:]]-Table269678[[#This Row],[Down Payment:]],IF(AND(Table269678[[#This Row],[Paying for Admin Fee Out of Pocket? (Y/N):]]="Y",Table269678[[#This Row],[Paying for DMV Fees Out of Pocket?]]="N"),Table269678[[#This Row],[Dealership Price:]]+Table269678[[#This Row],[DMV Fees Total:]]-Table269678[[#This Row],[Savings:]]-Table269678[[#This Row],[Rebate Amount:]]-Table269678[[#This Row],[Down Payment:]],IF(AND(Q7="N",Z7="Y"),C7-R7-AQ7-AU7+N7))))</f>
        <v>24323</v>
      </c>
      <c r="K7" s="18" t="str">
        <f>IF(Table269678[[#This Row],[Trading In?]]="N","N/A",IF(AND(Table269678[[#This Row],[Trading In?]]="Y",Table269678[[#This Row],[Paying for Admin Fee Out of Pocket? (Y/N):]]="N"),Table269678[[#This Row],[Dealership Price:]]-Table269678[[#This Row],[Total To be Applied Off of Net Dealership Price After Pay Off, Rebate, Down Payment]]+Table269678[[#This Row],[Admin Fee:]],IF(AND(Table269678[[#This Row],[Trading In?]]="Y",Table269678[[#This Row],[Paying for Admin Fee Out of Pocket? (Y/N):]]="Y"),Table269678[[#This Row],[Dealership Price:]]-Table269678[[#This Row],[Total To be Applied Off of Net Dealership Price After Pay Off, Rebate, Down Payment]])))</f>
        <v>N/A</v>
      </c>
      <c r="L7" s="21" t="s">
        <v>73</v>
      </c>
      <c r="M7" s="42">
        <v>0.03</v>
      </c>
      <c r="N7" s="21">
        <v>799</v>
      </c>
      <c r="O7" s="22">
        <v>84</v>
      </c>
      <c r="P7" s="61">
        <f>PMT(AZ7,O7,Table269678[[#This Row],[Net Dealership Price with Sales Tax:]])</f>
        <v>-362.98846998871932</v>
      </c>
      <c r="Q7" s="26" t="s">
        <v>75</v>
      </c>
      <c r="R7" s="27">
        <v>0</v>
      </c>
      <c r="S7" s="27">
        <v>138</v>
      </c>
      <c r="T7" s="27">
        <f>Table269678[[#This Row],[Net Dealership Price with Sales Tax:]]</f>
        <v>25052.69</v>
      </c>
      <c r="U7" s="44">
        <f>CUMIPMT(AZ7,O7,Table269678[[#This Row],[Net Dealership Price with Sales Tax:]],1,O7,1)</f>
        <v>-5292.935357547507</v>
      </c>
      <c r="V7" s="31">
        <v>66.75</v>
      </c>
      <c r="W7" s="31">
        <v>46.25</v>
      </c>
      <c r="X7" s="31">
        <v>102.42</v>
      </c>
      <c r="Y7" s="31">
        <f>Table269678[[#This Row],[Property Tax:]]+Table269678[[#This Row],[Registration Fee (For a Vehicle of Type "Car"):]]+Table269678[[#This Row],[One Time Title Fee:]]</f>
        <v>215.42000000000002</v>
      </c>
      <c r="Z7" s="31" t="s">
        <v>74</v>
      </c>
      <c r="AA7" s="27" t="s">
        <v>75</v>
      </c>
      <c r="AB7" s="27">
        <f>Table269678[[#This Row],[DMV Fees Total:]]+Table269678[[#This Row],[Non Tax Fees/ Other Fees:]]+Table269678[[#This Row],[Admin Fee:]]</f>
        <v>1152.42</v>
      </c>
      <c r="AC7" s="7" t="s">
        <v>75</v>
      </c>
      <c r="AD7" s="8" t="str">
        <f>IF(Table269678[[#This Row],[Trading In?]]="N","")</f>
        <v/>
      </c>
      <c r="AE7" s="8" t="str">
        <f>IF(Table269678[[#This Row],[Trading In?]]="N","")</f>
        <v/>
      </c>
      <c r="AF7" s="9" t="str">
        <f>IF(Table269678[[#This Row],[Trading In?]]="N","N/A",IF(Table269678[[#This Row],[Trading In?]]="Y",Table269678[[#This Row],[Dealer Offer For Trade In:]]-Table269678[[#This Row],[Loan Pay Off: ]]+Table269678[[#This Row],[Rebate Amount:]]+Table269678[[#This Row],[Down Payment:]]))</f>
        <v>N/A</v>
      </c>
      <c r="AG7" s="9"/>
      <c r="AH7" s="13"/>
      <c r="AI7" s="13"/>
      <c r="AJ7" s="13"/>
      <c r="AK7" s="13"/>
      <c r="AL7" s="13"/>
      <c r="AM7" s="13"/>
      <c r="AN7" s="13"/>
      <c r="AO7" s="53" t="str">
        <f>IF(Table269678[[#This Row],[Trading In?]]="N","N/A",IF(Table269678[[#This Row],[Trading In?]]="Y",ROUND(((Table269678[[#This Row],[Dealer Offer For Trade In:]]/Table269678[[#This Row],[KBB Selling:]]) - 1)* 100,2) &amp; " % " &amp; "/ " &amp; ROUND(((Table269678[[#This Row],[Dealer Offer For Trade In:]]/Table269678[[#This Row],[KBB Trading:]]) -1)* 100,2) &amp; "%"))</f>
        <v>N/A</v>
      </c>
      <c r="AP7" s="15" t="s">
        <v>74</v>
      </c>
      <c r="AQ7" s="15">
        <v>500</v>
      </c>
      <c r="AR7" s="15" t="s">
        <v>85</v>
      </c>
      <c r="AS7" s="15" t="s">
        <v>86</v>
      </c>
      <c r="AT7" s="15" t="str">
        <f>IF(AP7="N","",B7)</f>
        <v xml:space="preserve">2026 Toyota Corolla LE </v>
      </c>
      <c r="AU7" s="37">
        <v>-215</v>
      </c>
      <c r="AV7" s="75" t="str">
        <f>IF(Table269678[[#This Row],[Term: ]]=36,"$"&amp;ROUNDUP(0.1*Table269678[[#This Row],[Dealership Price:]],0)&amp; "-"&amp;"$"&amp;ROUNDUP(0.15*Table269678[[#This Row],[Dealership Price:]],0),IF(Table269678[[#This Row],[Term: ]]=48,"$"&amp;ROUNDUP(0.15*Table269678[[#This Row],[Dealership Price:]],0)&amp;" - "&amp;"$"&amp;ROUNDUP(0.2*Table269678[[#This Row],[Dealership Price:]],0),IF(Table269678[[#This Row],[Term: ]]=60,"$"&amp;ROUNDUP(0.2*Table269678[[#This Row],[Dealership Price:]],0)&amp;" - "&amp;"$"&amp;ROUNDUP(0.25*Table269678[[#This Row],[Dealership Price:]],0),IF(Table269678[[#This Row],[Term: ]]=72,"$"&amp;ROUNDUP(0.25*Table269678[[#This Row],[Dealership Price:]],0)&amp;" - " &amp;"$"&amp;ROUNDUP(0.3*Table269678[[#This Row],[Dealership Price:]],0),IF(Table269678[[#This Row],[Term: ]]=84,"$"&amp;ROUNDUP(0.3*Table269678[[#This Row],[Dealership Price:]],0)&amp;" or More")))))</f>
        <v>$7143 or More</v>
      </c>
      <c r="AW7" s="37">
        <f>IF(AND(Table269678[[#This Row],[Paying for DMV Fees Out of Pocket?]]="Y",Table269678[[#This Row],[Paying for Admin Fee Out of Pocket? (Y/N):]]="Y"),Table269678[[#This Row],[Admin Fee:]]+Table269678[[#This Row],[DMV Fees Total:]]+Table269678[[#This Row],[Down Payment:]],IF(AND(Table269678[[#This Row],[Paying for DMV Fees Out of Pocket?]]="Y",Table269678[[#This Row],[Paying for Admin Fee Out of Pocket? (Y/N):]]="N"),Table269678[[#This Row],[DMV Fees Total:]]+Table269678[[#This Row],[Down Payment:]],IF(AND(Table269678[[#This Row],[Paying for DMV Fees Out of Pocket?]]="N",Table269678[[#This Row],[Paying for Admin Fee Out of Pocket? (Y/N):]]="Y"),Table269678[[#This Row],[Admin Fee:]]+Table269678[[#This Row],[Down Payment:]],IF(AND(Table269678[[#This Row],[Paying for DMV Fees Out of Pocket?]]="N",Table269678[[#This Row],[Paying for Admin Fee Out of Pocket? (Y/N):]]="N"),Table269678[[#This Row],[Down Payment:]]))))</f>
        <v>0.42000000000001592</v>
      </c>
      <c r="AX7" s="78">
        <f>Table269678[[#This Row],[Down Payment:]]/Table269678[[#This Row],[Dealership Price:]]</f>
        <v>-9.0301986643706155E-3</v>
      </c>
      <c r="AY7" s="81" t="str">
        <f>IF(Table269678[[#This Row],[Down Payment:]]&lt;=0.1*Table269678[[#This Row],[Dealership Price:]],8&amp;"%"&amp;" - "&amp;10&amp;"%",IF(Table269678[[#This Row],[Down Payment:]]&lt;=0.15*Table269678[[#This Row],[Dealership Price:]],7&amp;"%"&amp;" - "&amp;9&amp;"%",IF(Table269678[[#This Row],[Down Payment:]]&lt;=0.2*Table269678[[#This Row],[Dealership Price:]],6.5&amp;"%"&amp;" - "&amp;8&amp;"%",IF(Table269678[[#This Row],[Down Payment:]]&lt;=0.25*Table269678[[#This Row],[Dealership Price:]],5.9&amp;"%"&amp;" - "&amp;7.5&amp;"%",IF(Table269678[[#This Row],[Down Payment:]]&lt;=0.3*Table269678[[#This Row],[Dealership Price:]],5&amp;"%"&amp;" - "&amp;6.5&amp;"%")))))</f>
        <v>8% - 10%</v>
      </c>
      <c r="AZ7" s="39">
        <f>Table269678[[#This Row],[Annual Interest Rate/ APR:]]/12</f>
        <v>4.7916666666666672E-3</v>
      </c>
      <c r="BA7" s="62">
        <v>5.7500000000000002E-2</v>
      </c>
      <c r="BB7" s="49">
        <f>Table269678[[#This Row],[Net Dealership Price with Sales Tax:]]</f>
        <v>25052.69</v>
      </c>
      <c r="BC7" s="49" t="str">
        <f>Table269678[[#This Row],[Loan Pay Off: ]]</f>
        <v/>
      </c>
      <c r="BD7" s="56" t="str">
        <f>Table269678[[#This Row],[New Loan: ]] &amp;" + " &amp; ABS(ROUND(Table269678[[#This Row],[Total Interest Paid:]],2)) &amp;" = " &amp; ROUND(Table269678[[#This Row],[New Loan: ]]-Table269678[[#This Row],[Total Interest Paid:]],2)</f>
        <v>25052.69 + 5292.94 = 30345.63</v>
      </c>
      <c r="BE7" s="83" t="str">
        <f>IF(Table269678[[#This Row],[Trading In?]]="N","N/A",IF(Table269678[[#This Row],[New Loan: ]]&gt;Table269678[[#This Row],[Current Loan: ]],"Higher",IF(Table269678[[#This Row],[New Loan: ]]&lt;Table269678[[#This Row],[Current Loan: ]],"Lower")))</f>
        <v>N/A</v>
      </c>
      <c r="BF7" s="83" t="s">
        <v>78</v>
      </c>
      <c r="BG7" s="84">
        <v>701</v>
      </c>
      <c r="BH7" s="80" t="str">
        <f>IF(AND(Table269678[[#This Row],[Credit Score:]]&gt;=781,Table269678[[#This Row],[New or Used Vehicle?]]="New"),"Super Prime "&amp; 5.18&amp;"%",IF(AND(Table269678[[#This Row],[Credit Score:]]&gt;=781,Table269678[[#This Row],[New or Used Vehicle?]]="Used"),"Super Prime "&amp;6.82&amp;"%",IF(AND(Table269678[[#This Row],[Credit Score:]]&lt;781,Table269678[[#This Row],[Credit Score:]]&gt;=661,Table269678[[#This Row],[New or Used Vehicle?]]="New"),"Prime "&amp;6.7&amp;"%",IF(AND(Table269678[[#This Row],[Credit Score:]]&lt;781,Table269678[[#This Row],[Credit Score:]]&gt;=661,Table269678[[#This Row],[New or Used Vehicle?]]="Used"),"Prime "&amp;9.06&amp;"%",IF(AND(Table269678[[#This Row],[Credit Score:]]&lt;661,Table269678[[#This Row],[Credit Score:]]&gt;=601,Table269678[[#This Row],[New or Used Vehicle?]]="New"),"Near Prime "&amp;9.83&amp;"%",IF(AND(Table269678[[#This Row],[Credit Score:]]&lt;661,Table269678[[#This Row],[Credit Score:]]&gt;=601,Table269678[[#This Row],[New or Used Vehicle?]]="Used"),"Near Prime "&amp;13.74&amp;"%",IF(AND(Table269678[[#This Row],[Credit Score:]]&lt;601,Table269678[[#This Row],[Credit Score:]]&gt;=501,Table269678[[#This Row],[New or Used Vehicle?]]="New"),"Subprime " &amp;13.22&amp;"%",IF(AND(Table269678[[#This Row],[Credit Score:]]&lt;601,Table269678[[#This Row],[Credit Score:]]&gt;=501,Table269678[[#This Row],[New or Used Vehicle?]]="Used"),"Subprime "&amp; 18.99&amp;"%",IF(AND(Table269678[[#This Row],[Credit Score:]]&lt;501,Table269678[[#This Row],[Credit Score:]]&gt;=300,Table269678[[#This Row],[New or Used Vehicle?]]="New"),"Deep Subprime "&amp;15.81&amp;"%",IF(AND(Table269678[[#This Row],[Credit Score:]]&lt;501,Table269678[[#This Row],[Credit Score:]]&gt;=300,Table269678[[#This Row],[New or Used Vehicle?]]="Used"),"Deep Subprime " &amp;21.58&amp;"%"))))))))))</f>
        <v>Prime 9.06%</v>
      </c>
      <c r="BI7" s="76" t="str">
        <f>IF(Table269678[[#This Row],[Credit Score:]]&lt;580,"Poor",IF(AND(Table269678[[#This Row],[Credit Score:]]&gt;=580,Table269678[[#This Row],[Credit Score:]]&lt;=669),"Fair",IF(AND(Table269678[[#This Row],[Credit Score:]]&gt;669,Table269678[[#This Row],[Credit Score:]]&lt;=699),"Good",IF(AND(Table269678[[#This Row],[Credit Score:]]&gt;699,Table269678[[#This Row],[Credit Score:]]&lt;=739),"Very Good",IF(Table269678[[#This Row],[Credit Score:]]&gt;740,"Exceptional")))))</f>
        <v>Very Good</v>
      </c>
    </row>
    <row r="8" spans="1:63" ht="37.5" customHeight="1">
      <c r="A8" s="73"/>
      <c r="B8" s="51" t="s">
        <v>87</v>
      </c>
      <c r="C8" s="23">
        <v>23814</v>
      </c>
      <c r="D8" s="23" t="s">
        <v>88</v>
      </c>
      <c r="E8" s="23">
        <v>27700</v>
      </c>
      <c r="F8" s="47" t="str">
        <f>IF(C8&gt;E8,"Over","Under")</f>
        <v>Under</v>
      </c>
      <c r="G8" s="46">
        <f t="shared" si="0"/>
        <v>-0.14028880866425994</v>
      </c>
      <c r="H8" s="35">
        <f>IF(Table269678[[#This Row],[HUT Tax Exemption?]]&lt;&gt;"N/A",0,IF(Table269678[[#This Row],[Trading In?]]="Y",Table269678[[#This Row],[Net with Trade In (Pre - Tax): ]]*Table269678[[#This Row],[HUT Tax Rate:]],IF(Table269678[[#This Row],[Trading In?]]="N",Table269678[[#This Row],[Net No Trade In (Pre - Tax): ]]*Table269678[[#This Row],[HUT Tax Rate:]])))</f>
        <v>681.36</v>
      </c>
      <c r="I8" s="19">
        <f>IF(Table269678[[#This Row],[Trading In?]]="Y",Table269678[[#This Row],[Net with Trade In (Pre - Tax): ]]+Table269678[[#This Row],[Sales Tax:]],IF(Table269678[[#This Row],[Trading In?]]="N",Table269678[[#This Row],[Net No Trade In (Pre - Tax): ]]+Table269678[[#This Row],[Sales Tax:]]))</f>
        <v>23393.360000000001</v>
      </c>
      <c r="J8" s="19">
        <f>IF(AND(Table269678[[#This Row],[Paying for Admin Fee Out of Pocket? (Y/N):]]="N",Table269678[[#This Row],[Paying for DMV Fees Out of Pocket?]]="N"),Table269678[[#This Row],[Dealership Price:]]-Table269678[[#This Row],[Savings:]]-Table269678[[#This Row],[Rebate Amount:]]-Table269678[[#This Row],[Down Payment:]]+Table269678[[#This Row],[Admin Fee:]]+Table269678[[#This Row],[DMV Fees Total:]],IF(AND(Table269678[[#This Row],[Paying for Admin Fee Out of Pocket? (Y/N):]]="Y",Table269678[[#This Row],[Paying for DMV Fees Out of Pocket?]]="Y"),Table269678[[#This Row],[Dealership Price:]]-Table269678[[#This Row],[Savings:]]-Table269678[[#This Row],[Rebate Amount:]]-Table269678[[#This Row],[Down Payment:]],IF(AND(Table269678[[#This Row],[Paying for Admin Fee Out of Pocket? (Y/N):]]="Y",Table269678[[#This Row],[Paying for DMV Fees Out of Pocket?]]="N"),Table269678[[#This Row],[Dealership Price:]]+Table269678[[#This Row],[DMV Fees Total:]]-Table269678[[#This Row],[Savings:]]-Table269678[[#This Row],[Rebate Amount:]]-Table269678[[#This Row],[Down Payment:]],IF(AND(Q8="N",Z8="Y"),C8-R8-AQ8-AU8+N8))))</f>
        <v>22712</v>
      </c>
      <c r="K8" s="18" t="str">
        <f>IF(Table269678[[#This Row],[Trading In?]]="N","N/A",IF(AND(Table269678[[#This Row],[Trading In?]]="Y",Table269678[[#This Row],[Paying for Admin Fee Out of Pocket? (Y/N):]]="N"),Table269678[[#This Row],[Dealership Price:]]-Table269678[[#This Row],[Total To be Applied Off of Net Dealership Price After Pay Off, Rebate, Down Payment]]+Table269678[[#This Row],[Admin Fee:]],IF(AND(Table269678[[#This Row],[Trading In?]]="Y",Table269678[[#This Row],[Paying for Admin Fee Out of Pocket? (Y/N):]]="Y"),Table269678[[#This Row],[Dealership Price:]]-Table269678[[#This Row],[Total To be Applied Off of Net Dealership Price After Pay Off, Rebate, Down Payment]])))</f>
        <v>N/A</v>
      </c>
      <c r="L8" s="21" t="s">
        <v>73</v>
      </c>
      <c r="M8" s="42">
        <v>0.03</v>
      </c>
      <c r="N8" s="21">
        <v>698</v>
      </c>
      <c r="O8" s="22">
        <v>72</v>
      </c>
      <c r="P8" s="61">
        <f>PMT(AZ8,O8,Table269678[[#This Row],[Net Dealership Price with Sales Tax:]])</f>
        <v>-396.03119841959324</v>
      </c>
      <c r="Q8" s="26" t="s">
        <v>75</v>
      </c>
      <c r="R8" s="27">
        <v>0</v>
      </c>
      <c r="S8" s="27">
        <v>138</v>
      </c>
      <c r="T8" s="27">
        <f>Table269678[[#This Row],[Net Dealership Price with Sales Tax:]]</f>
        <v>23393.360000000001</v>
      </c>
      <c r="U8" s="44">
        <f>CUMIPMT(AZ8,O8,Table269678[[#This Row],[Net Dealership Price with Sales Tax:]],1,O8,1)</f>
        <v>-4961.390812888214</v>
      </c>
      <c r="V8" s="31">
        <v>66.75</v>
      </c>
      <c r="W8" s="31">
        <v>46.25</v>
      </c>
      <c r="X8" s="31">
        <v>102.42</v>
      </c>
      <c r="Y8" s="31">
        <f>Table269678[[#This Row],[Property Tax:]]+Table269678[[#This Row],[Registration Fee (For a Vehicle of Type "Car"):]]+Table269678[[#This Row],[One Time Title Fee:]]</f>
        <v>215.42000000000002</v>
      </c>
      <c r="Z8" s="31" t="s">
        <v>74</v>
      </c>
      <c r="AA8" s="27" t="s">
        <v>75</v>
      </c>
      <c r="AB8" s="27">
        <f>Table269678[[#This Row],[DMV Fees Total:]]+Table269678[[#This Row],[Non Tax Fees/ Other Fees:]]+Table269678[[#This Row],[Admin Fee:]]</f>
        <v>1051.42</v>
      </c>
      <c r="AC8" s="7" t="s">
        <v>75</v>
      </c>
      <c r="AD8" s="8" t="str">
        <f>IF(Table269678[[#This Row],[Trading In?]]="N","")</f>
        <v/>
      </c>
      <c r="AE8" s="8" t="str">
        <f>IF(Table269678[[#This Row],[Trading In?]]="N","")</f>
        <v/>
      </c>
      <c r="AF8" s="9" t="str">
        <f>IF(Table269678[[#This Row],[Trading In?]]="N","N/A",IF(Table269678[[#This Row],[Trading In?]]="Y",Table269678[[#This Row],[Dealer Offer For Trade In:]]-Table269678[[#This Row],[Loan Pay Off: ]]+Table269678[[#This Row],[Rebate Amount:]]+Table269678[[#This Row],[Down Payment:]]))</f>
        <v>N/A</v>
      </c>
      <c r="AG8" s="9"/>
      <c r="AH8" s="9"/>
      <c r="AI8" s="13"/>
      <c r="AJ8" s="13"/>
      <c r="AK8" s="13"/>
      <c r="AL8" s="13"/>
      <c r="AM8" s="13"/>
      <c r="AN8" s="13"/>
      <c r="AO8" s="53" t="str">
        <f>IF(Table269678[[#This Row],[Trading In?]]="N","N/A",IF(Table269678[[#This Row],[Trading In?]]="Y",ROUND(((Table269678[[#This Row],[Dealer Offer For Trade In:]]/Table269678[[#This Row],[KBB Selling:]]) - 1)* 100,2) &amp; " % " &amp; "/ " &amp; ROUND(((Table269678[[#This Row],[Dealer Offer For Trade In:]]/Table269678[[#This Row],[KBB Trading:]]) -1)* 100,2) &amp; "%"))</f>
        <v>N/A</v>
      </c>
      <c r="AP8" s="15" t="s">
        <v>75</v>
      </c>
      <c r="AQ8" s="15">
        <v>500</v>
      </c>
      <c r="AR8" s="15" t="s">
        <v>89</v>
      </c>
      <c r="AS8" s="15" t="s">
        <v>77</v>
      </c>
      <c r="AT8" s="15" t="str">
        <f>IF(AP8="N","",B8)</f>
        <v/>
      </c>
      <c r="AU8" s="37">
        <v>1300</v>
      </c>
      <c r="AV8" s="75" t="str">
        <f>IF(Table269678[[#This Row],[Term: ]]=36,"$"&amp;ROUNDUP(0.1*Table269678[[#This Row],[Dealership Price:]],0)&amp; "-"&amp;"$"&amp;ROUNDUP(0.15*Table269678[[#This Row],[Dealership Price:]],0),IF(Table269678[[#This Row],[Term: ]]=48,"$"&amp;ROUNDUP(0.15*Table269678[[#This Row],[Dealership Price:]],0)&amp;" - "&amp;"$"&amp;ROUNDUP(0.2*Table269678[[#This Row],[Dealership Price:]],0),IF(Table269678[[#This Row],[Term: ]]=60,"$"&amp;ROUNDUP(0.2*Table269678[[#This Row],[Dealership Price:]],0)&amp;" - "&amp;"$"&amp;ROUNDUP(0.25*Table269678[[#This Row],[Dealership Price:]],0),IF(Table269678[[#This Row],[Term: ]]=72,"$"&amp;ROUNDUP(0.25*Table269678[[#This Row],[Dealership Price:]],0)&amp;" - " &amp;"$"&amp;ROUNDUP(0.3*Table269678[[#This Row],[Dealership Price:]],0),IF(Table269678[[#This Row],[Term: ]]=84,"$"&amp;ROUNDUP(0.3*Table269678[[#This Row],[Dealership Price:]],0)&amp;" or More")))))</f>
        <v>$5954 - $7145</v>
      </c>
      <c r="AW8" s="37">
        <f>IF(AND(Table269678[[#This Row],[Paying for DMV Fees Out of Pocket?]]="Y",Table269678[[#This Row],[Paying for Admin Fee Out of Pocket? (Y/N):]]="Y"),Table269678[[#This Row],[Admin Fee:]]+Table269678[[#This Row],[DMV Fees Total:]]+Table269678[[#This Row],[Down Payment:]],IF(AND(Table269678[[#This Row],[Paying for DMV Fees Out of Pocket?]]="Y",Table269678[[#This Row],[Paying for Admin Fee Out of Pocket? (Y/N):]]="N"),Table269678[[#This Row],[DMV Fees Total:]]+Table269678[[#This Row],[Down Payment:]],IF(AND(Table269678[[#This Row],[Paying for DMV Fees Out of Pocket?]]="N",Table269678[[#This Row],[Paying for Admin Fee Out of Pocket? (Y/N):]]="Y"),Table269678[[#This Row],[Admin Fee:]]+Table269678[[#This Row],[Down Payment:]],IF(AND(Table269678[[#This Row],[Paying for DMV Fees Out of Pocket?]]="N",Table269678[[#This Row],[Paying for Admin Fee Out of Pocket? (Y/N):]]="N"),Table269678[[#This Row],[Down Payment:]]))))</f>
        <v>1515.42</v>
      </c>
      <c r="AX8" s="78">
        <f>Table269678[[#This Row],[Down Payment:]]/Table269678[[#This Row],[Dealership Price:]]</f>
        <v>5.4589737129419669E-2</v>
      </c>
      <c r="AY8" s="81" t="str">
        <f>IF(Table269678[[#This Row],[Down Payment:]]&lt;=0.1*Table269678[[#This Row],[Dealership Price:]],8&amp;"%"&amp;" - "&amp;10&amp;"%",IF(Table269678[[#This Row],[Down Payment:]]&lt;=0.15*Table269678[[#This Row],[Dealership Price:]],7&amp;"%"&amp;" - "&amp;9&amp;"%",IF(Table269678[[#This Row],[Down Payment:]]&lt;=0.2*Table269678[[#This Row],[Dealership Price:]],6.5&amp;"%"&amp;" - "&amp;8&amp;"%",IF(Table269678[[#This Row],[Down Payment:]]&lt;=0.25*Table269678[[#This Row],[Dealership Price:]],5.9&amp;"%"&amp;" - "&amp;7.5&amp;"%",IF(Table269678[[#This Row],[Down Payment:]]&lt;=0.3*Table269678[[#This Row],[Dealership Price:]],5&amp;"%"&amp;" - "&amp;6.5&amp;"%")))))</f>
        <v>8% - 10%</v>
      </c>
      <c r="AZ8" s="39">
        <f>Table269678[[#This Row],[Annual Interest Rate/ APR:]]/12</f>
        <v>5.6250000000000007E-3</v>
      </c>
      <c r="BA8" s="62">
        <v>6.7500000000000004E-2</v>
      </c>
      <c r="BB8" s="49">
        <f>Table269678[[#This Row],[Net Dealership Price with Sales Tax:]]</f>
        <v>23393.360000000001</v>
      </c>
      <c r="BC8" s="49" t="str">
        <f>Table269678[[#This Row],[Loan Pay Off: ]]</f>
        <v/>
      </c>
      <c r="BD8" s="56" t="str">
        <f>Table269678[[#This Row],[New Loan: ]] &amp;" + " &amp; ABS(ROUND(Table269678[[#This Row],[Total Interest Paid:]],2)) &amp;" = " &amp; ROUND(Table269678[[#This Row],[New Loan: ]]-Table269678[[#This Row],[Total Interest Paid:]],2)</f>
        <v>23393.36 + 4961.39 = 28354.75</v>
      </c>
      <c r="BE8" s="83" t="str">
        <f>IF(Table269678[[#This Row],[Trading In?]]="N","N/A",IF(Table269678[[#This Row],[New Loan: ]]&gt;Table269678[[#This Row],[Current Loan: ]],"Higher",IF(Table269678[[#This Row],[New Loan: ]]&lt;Table269678[[#This Row],[Current Loan: ]],"Lower")))</f>
        <v>N/A</v>
      </c>
      <c r="BF8" s="83" t="s">
        <v>78</v>
      </c>
      <c r="BG8" s="84">
        <v>701</v>
      </c>
      <c r="BH8" s="80" t="str">
        <f>IF(AND(Table269678[[#This Row],[Credit Score:]]&gt;=781,Table269678[[#This Row],[New or Used Vehicle?]]="New"),"Super Prime "&amp; 5.18&amp;"%",IF(AND(Table269678[[#This Row],[Credit Score:]]&gt;=781,Table269678[[#This Row],[New or Used Vehicle?]]="Used"),"Super Prime "&amp;6.82&amp;"%",IF(AND(Table269678[[#This Row],[Credit Score:]]&lt;781,Table269678[[#This Row],[Credit Score:]]&gt;=661,Table269678[[#This Row],[New or Used Vehicle?]]="New"),"Prime "&amp;6.7&amp;"%",IF(AND(Table269678[[#This Row],[Credit Score:]]&lt;781,Table269678[[#This Row],[Credit Score:]]&gt;=661,Table269678[[#This Row],[New or Used Vehicle?]]="Used"),"Prime "&amp;9.06&amp;"%",IF(AND(Table269678[[#This Row],[Credit Score:]]&lt;661,Table269678[[#This Row],[Credit Score:]]&gt;=601,Table269678[[#This Row],[New or Used Vehicle?]]="New"),"Near Prime "&amp;9.83&amp;"%",IF(AND(Table269678[[#This Row],[Credit Score:]]&lt;661,Table269678[[#This Row],[Credit Score:]]&gt;=601,Table269678[[#This Row],[New or Used Vehicle?]]="Used"),"Near Prime "&amp;13.74&amp;"%",IF(AND(Table269678[[#This Row],[Credit Score:]]&lt;601,Table269678[[#This Row],[Credit Score:]]&gt;=501,Table269678[[#This Row],[New or Used Vehicle?]]="New"),"Subprime " &amp;13.22&amp;"%",IF(AND(Table269678[[#This Row],[Credit Score:]]&lt;601,Table269678[[#This Row],[Credit Score:]]&gt;=501,Table269678[[#This Row],[New or Used Vehicle?]]="Used"),"Subprime "&amp; 18.99&amp;"%",IF(AND(Table269678[[#This Row],[Credit Score:]]&lt;501,Table269678[[#This Row],[Credit Score:]]&gt;=300,Table269678[[#This Row],[New or Used Vehicle?]]="New"),"Deep Subprime "&amp;15.81&amp;"%",IF(AND(Table269678[[#This Row],[Credit Score:]]&lt;501,Table269678[[#This Row],[Credit Score:]]&gt;=300,Table269678[[#This Row],[New or Used Vehicle?]]="Used"),"Deep Subprime " &amp;21.58&amp;"%"))))))))))</f>
        <v>Prime 9.06%</v>
      </c>
      <c r="BI8" s="76" t="str">
        <f>IF(Table269678[[#This Row],[Credit Score:]]&lt;580,"Poor",IF(AND(Table269678[[#This Row],[Credit Score:]]&gt;=580,Table269678[[#This Row],[Credit Score:]]&lt;=669),"Fair",IF(AND(Table269678[[#This Row],[Credit Score:]]&gt;669,Table269678[[#This Row],[Credit Score:]]&lt;=699),"Good",IF(AND(Table269678[[#This Row],[Credit Score:]]&gt;699,Table269678[[#This Row],[Credit Score:]]&lt;=739),"Very Good",IF(Table269678[[#This Row],[Credit Score:]]&gt;740,"Exceptional")))))</f>
        <v>Very Good</v>
      </c>
      <c r="BK8" s="1"/>
    </row>
    <row r="9" spans="1:63" ht="36.75" customHeight="1">
      <c r="A9" s="73"/>
      <c r="B9" s="51" t="s">
        <v>90</v>
      </c>
      <c r="C9" s="23">
        <v>21691</v>
      </c>
      <c r="D9" s="23" t="s">
        <v>91</v>
      </c>
      <c r="E9" s="23">
        <v>30100</v>
      </c>
      <c r="F9" s="48" t="str">
        <f>IF(C9&gt;E9,"Over","Under")</f>
        <v>Under</v>
      </c>
      <c r="G9" s="46">
        <f>(C9-E9)/E9</f>
        <v>-0.27936877076411959</v>
      </c>
      <c r="H9" s="35">
        <f>IF(Table269678[[#This Row],[HUT Tax Exemption?]]&lt;&gt;"N/A",0,IF(Table269678[[#This Row],[Trading In?]]="Y",Table269678[[#This Row],[Net with Trade In (Pre - Tax): ]]*Table269678[[#This Row],[HUT Tax Rate:]],IF(Table269678[[#This Row],[Trading In?]]="N",Table269678[[#This Row],[Net No Trade In (Pre - Tax): ]]*Table269678[[#This Row],[HUT Tax Rate:]])))</f>
        <v>575.73</v>
      </c>
      <c r="I9" s="19">
        <f>IF(Table269678[[#This Row],[Trading In?]]="Y",Table269678[[#This Row],[Net with Trade In (Pre - Tax): ]]+Table269678[[#This Row],[Sales Tax:]],IF(Table269678[[#This Row],[Trading In?]]="N",Table269678[[#This Row],[Net No Trade In (Pre - Tax): ]]+Table269678[[#This Row],[Sales Tax:]]))</f>
        <v>19766.73</v>
      </c>
      <c r="J9" s="19">
        <f>IF(AND(Table269678[[#This Row],[Paying for Admin Fee Out of Pocket? (Y/N):]]="N",Table269678[[#This Row],[Paying for DMV Fees Out of Pocket?]]="N"),Table269678[[#This Row],[Dealership Price:]]-Table269678[[#This Row],[Savings:]]-Table269678[[#This Row],[Rebate Amount:]]-Table269678[[#This Row],[Down Payment:]]+Table269678[[#This Row],[Admin Fee:]]+Table269678[[#This Row],[DMV Fees Total:]],IF(AND(Table269678[[#This Row],[Paying for Admin Fee Out of Pocket? (Y/N):]]="Y",Table269678[[#This Row],[Paying for DMV Fees Out of Pocket?]]="Y"),Table269678[[#This Row],[Dealership Price:]]-Table269678[[#This Row],[Savings:]]-Table269678[[#This Row],[Rebate Amount:]]-Table269678[[#This Row],[Down Payment:]],IF(AND(Table269678[[#This Row],[Paying for Admin Fee Out of Pocket? (Y/N):]]="Y",Table269678[[#This Row],[Paying for DMV Fees Out of Pocket?]]="N"),Table269678[[#This Row],[Dealership Price:]]+Table269678[[#This Row],[DMV Fees Total:]]-Table269678[[#This Row],[Savings:]]-Table269678[[#This Row],[Rebate Amount:]]-Table269678[[#This Row],[Down Payment:]],IF(AND(Q9="N",Z9="Y"),C9-R9-AQ9-AU9+N9))))</f>
        <v>19191</v>
      </c>
      <c r="K9" s="18" t="str">
        <f>IF(Table269678[[#This Row],[Trading In?]]="N","N/A",IF(AND(Table269678[[#This Row],[Trading In?]]="Y",Table269678[[#This Row],[Paying for Admin Fee Out of Pocket? (Y/N):]]="N"),Table269678[[#This Row],[Dealership Price:]]-Table269678[[#This Row],[Total To be Applied Off of Net Dealership Price After Pay Off, Rebate, Down Payment]]+Table269678[[#This Row],[Admin Fee:]],IF(AND(Table269678[[#This Row],[Trading In?]]="Y",Table269678[[#This Row],[Paying for Admin Fee Out of Pocket? (Y/N):]]="Y"),Table269678[[#This Row],[Dealership Price:]]-Table269678[[#This Row],[Total To be Applied Off of Net Dealership Price After Pay Off, Rebate, Down Payment]])))</f>
        <v>N/A</v>
      </c>
      <c r="L9" s="21" t="s">
        <v>73</v>
      </c>
      <c r="M9" s="42">
        <v>0.03</v>
      </c>
      <c r="N9" s="21">
        <v>698</v>
      </c>
      <c r="O9" s="22">
        <v>72</v>
      </c>
      <c r="P9" s="61">
        <f>PMT(AZ9,O9,Table269678[[#This Row],[Net Dealership Price with Sales Tax:]])</f>
        <v>-358.76346780342828</v>
      </c>
      <c r="Q9" s="26" t="s">
        <v>74</v>
      </c>
      <c r="R9" s="27">
        <v>0</v>
      </c>
      <c r="S9" s="27">
        <v>138</v>
      </c>
      <c r="T9" s="27">
        <f>Table269678[[#This Row],[Net Dealership Price with Sales Tax:]]</f>
        <v>19766.73</v>
      </c>
      <c r="U9" s="44">
        <f>CUMIPMT(AZ9,O9,Table269678[[#This Row],[Net Dealership Price with Sales Tax:]],1,O9,1)</f>
        <v>-5866.649051656972</v>
      </c>
      <c r="V9" s="31">
        <v>66.75</v>
      </c>
      <c r="W9" s="31">
        <v>46.25</v>
      </c>
      <c r="X9" s="31">
        <v>102.42</v>
      </c>
      <c r="Y9" s="31">
        <f>Table269678[[#This Row],[Property Tax:]]+Table269678[[#This Row],[Registration Fee (For a Vehicle of Type "Car"):]]+Table269678[[#This Row],[One Time Title Fee:]]</f>
        <v>215.42000000000002</v>
      </c>
      <c r="Z9" s="31" t="s">
        <v>74</v>
      </c>
      <c r="AA9" s="27" t="s">
        <v>75</v>
      </c>
      <c r="AB9" s="27">
        <f>Table269678[[#This Row],[DMV Fees Total:]]+Table269678[[#This Row],[Non Tax Fees/ Other Fees:]]+Table269678[[#This Row],[Admin Fee:]]</f>
        <v>1051.42</v>
      </c>
      <c r="AC9" s="7" t="s">
        <v>75</v>
      </c>
      <c r="AD9" s="8" t="str">
        <f>IF(Table269678[[#This Row],[Trading In?]]="N","")</f>
        <v/>
      </c>
      <c r="AE9" s="8" t="str">
        <f>IF(Table269678[[#This Row],[Trading In?]]="N","")</f>
        <v/>
      </c>
      <c r="AF9" s="8" t="str">
        <f>IF(Table269678[[#This Row],[Trading In?]]="N","N/A",IF(Table269678[[#This Row],[Trading In?]]="Y",Table269678[[#This Row],[Dealer Offer For Trade In:]]-Table269678[[#This Row],[Loan Pay Off: ]]+Table269678[[#This Row],[Rebate Amount:]]+Table269678[[#This Row],[Down Payment:]]))</f>
        <v>N/A</v>
      </c>
      <c r="AG9" s="8" t="s">
        <v>92</v>
      </c>
      <c r="AH9" s="13"/>
      <c r="AI9" s="13">
        <v>20460</v>
      </c>
      <c r="AJ9" s="13">
        <v>19511</v>
      </c>
      <c r="AK9" s="13"/>
      <c r="AL9" s="13"/>
      <c r="AM9" s="13"/>
      <c r="AN9" s="13"/>
      <c r="AO9" s="53" t="str">
        <f>IF(Table269678[[#This Row],[Trading In?]]="N","N/A",IF(Table269678[[#This Row],[Trading In?]]="Y",ROUND(((Table269678[[#This Row],[Dealer Offer For Trade In:]]/Table269678[[#This Row],[KBB Selling:]]) - 1)* 100,2) &amp; " % " &amp; "/ " &amp; ROUND(((Table269678[[#This Row],[Dealer Offer For Trade In:]]/Table269678[[#This Row],[KBB Trading:]]) -1)* 100,2) &amp; "%"))</f>
        <v>N/A</v>
      </c>
      <c r="AP9" s="15" t="s">
        <v>74</v>
      </c>
      <c r="AQ9" s="15">
        <v>1000</v>
      </c>
      <c r="AR9" s="15" t="s">
        <v>93</v>
      </c>
      <c r="AS9" s="15" t="s">
        <v>77</v>
      </c>
      <c r="AT9" s="15" t="str">
        <f>IF(AP9="N","",B9)</f>
        <v xml:space="preserve">2018 Honda CR-V LX </v>
      </c>
      <c r="AU9" s="37">
        <v>1500</v>
      </c>
      <c r="AV9" s="75" t="str">
        <f>IF(Table269678[[#This Row],[Term: ]]=36,"$"&amp;ROUNDUP(0.1*Table269678[[#This Row],[Dealership Price:]],0)&amp; "-"&amp;"$"&amp;ROUNDUP(0.15*Table269678[[#This Row],[Dealership Price:]],0),IF(Table269678[[#This Row],[Term: ]]=48,"$"&amp;ROUNDUP(0.15*Table269678[[#This Row],[Dealership Price:]],0)&amp;" - "&amp;"$"&amp;ROUNDUP(0.2*Table269678[[#This Row],[Dealership Price:]],0),IF(Table269678[[#This Row],[Term: ]]=60,"$"&amp;ROUNDUP(0.2*Table269678[[#This Row],[Dealership Price:]],0)&amp;" - "&amp;"$"&amp;ROUNDUP(0.25*Table269678[[#This Row],[Dealership Price:]],0),IF(Table269678[[#This Row],[Term: ]]=72,"$"&amp;ROUNDUP(0.25*Table269678[[#This Row],[Dealership Price:]],0)&amp;" - " &amp;"$"&amp;ROUNDUP(0.3*Table269678[[#This Row],[Dealership Price:]],0),IF(Table269678[[#This Row],[Term: ]]=84,"$"&amp;ROUNDUP(0.3*Table269678[[#This Row],[Dealership Price:]],0)&amp;" or More")))))</f>
        <v>$5423 - $6508</v>
      </c>
      <c r="AW9" s="57">
        <f>IF(AND(Table269678[[#This Row],[Paying for DMV Fees Out of Pocket?]]="Y",Table269678[[#This Row],[Paying for Admin Fee Out of Pocket? (Y/N):]]="Y"),Table269678[[#This Row],[Admin Fee:]]+Table269678[[#This Row],[DMV Fees Total:]]+Table269678[[#This Row],[Down Payment:]],IF(AND(Table269678[[#This Row],[Paying for DMV Fees Out of Pocket?]]="Y",Table269678[[#This Row],[Paying for Admin Fee Out of Pocket? (Y/N):]]="N"),Table269678[[#This Row],[DMV Fees Total:]]+Table269678[[#This Row],[Down Payment:]],IF(AND(Table269678[[#This Row],[Paying for DMV Fees Out of Pocket?]]="N",Table269678[[#This Row],[Paying for Admin Fee Out of Pocket? (Y/N):]]="Y"),Table269678[[#This Row],[Admin Fee:]]+Table269678[[#This Row],[Down Payment:]],IF(AND(Table269678[[#This Row],[Paying for DMV Fees Out of Pocket?]]="N",Table269678[[#This Row],[Paying for Admin Fee Out of Pocket? (Y/N):]]="N"),Table269678[[#This Row],[Down Payment:]]))))</f>
        <v>2413.42</v>
      </c>
      <c r="AX9" s="78">
        <f>Table269678[[#This Row],[Down Payment:]]/Table269678[[#This Row],[Dealership Price:]]</f>
        <v>6.9153104974413349E-2</v>
      </c>
      <c r="AY9" s="81" t="str">
        <f>IF(Table269678[[#This Row],[Down Payment:]]&lt;=0.1*Table269678[[#This Row],[Dealership Price:]],8&amp;"%"&amp;" - "&amp;10&amp;"%",IF(Table269678[[#This Row],[Down Payment:]]&lt;=0.15*Table269678[[#This Row],[Dealership Price:]],7&amp;"%"&amp;" - "&amp;9&amp;"%",IF(Table269678[[#This Row],[Down Payment:]]&lt;=0.2*Table269678[[#This Row],[Dealership Price:]],6.5&amp;"%"&amp;" - "&amp;8&amp;"%",IF(Table269678[[#This Row],[Down Payment:]]&lt;=0.25*Table269678[[#This Row],[Dealership Price:]],5.9&amp;"%"&amp;" - "&amp;7.5&amp;"%",IF(Table269678[[#This Row],[Down Payment:]]&lt;=0.3*Table269678[[#This Row],[Dealership Price:]],5&amp;"%"&amp;" - "&amp;6.5&amp;"%")))))</f>
        <v>8% - 10%</v>
      </c>
      <c r="AZ9" s="58">
        <f>Table269678[[#This Row],[Annual Interest Rate/ APR:]]/12</f>
        <v>7.7083333333333335E-3</v>
      </c>
      <c r="BA9" s="62">
        <v>9.2499999999999999E-2</v>
      </c>
      <c r="BB9" s="49">
        <f>Table269678[[#This Row],[Net Dealership Price with Sales Tax:]]</f>
        <v>19766.73</v>
      </c>
      <c r="BC9" s="49" t="str">
        <f>Table269678[[#This Row],[Loan Pay Off: ]]</f>
        <v/>
      </c>
      <c r="BD9" s="56" t="str">
        <f>Table269678[[#This Row],[New Loan: ]] &amp;" + " &amp; ABS(ROUND(Table269678[[#This Row],[Total Interest Paid:]],2)) &amp;" = " &amp; ROUND(Table269678[[#This Row],[New Loan: ]]-Table269678[[#This Row],[Total Interest Paid:]],2)</f>
        <v>19766.73 + 5866.65 = 25633.38</v>
      </c>
      <c r="BE9" s="83" t="str">
        <f>IF(Table269678[[#This Row],[Trading In?]]="N","N/A",IF(Table269678[[#This Row],[New Loan: ]]&gt;Table269678[[#This Row],[Current Loan: ]],"Higher",IF(Table269678[[#This Row],[New Loan: ]]&lt;Table269678[[#This Row],[Current Loan: ]],"Lower")))</f>
        <v>N/A</v>
      </c>
      <c r="BF9" s="83" t="s">
        <v>78</v>
      </c>
      <c r="BG9" s="84">
        <v>705</v>
      </c>
      <c r="BH9" s="80" t="str">
        <f>IF(AND(Table269678[[#This Row],[Credit Score:]]&gt;=781,Table269678[[#This Row],[New or Used Vehicle?]]="New"),"Super Prime "&amp; 5.18&amp;"%",IF(AND(Table269678[[#This Row],[Credit Score:]]&gt;=781,Table269678[[#This Row],[New or Used Vehicle?]]="Used"),"Super Prime "&amp;6.82&amp;"%",IF(AND(Table269678[[#This Row],[Credit Score:]]&lt;781,Table269678[[#This Row],[Credit Score:]]&gt;=661,Table269678[[#This Row],[New or Used Vehicle?]]="New"),"Prime "&amp;6.7&amp;"%",IF(AND(Table269678[[#This Row],[Credit Score:]]&lt;781,Table269678[[#This Row],[Credit Score:]]&gt;=661,Table269678[[#This Row],[New or Used Vehicle?]]="Used"),"Prime "&amp;9.06&amp;"%",IF(AND(Table269678[[#This Row],[Credit Score:]]&lt;661,Table269678[[#This Row],[Credit Score:]]&gt;=601,Table269678[[#This Row],[New or Used Vehicle?]]="New"),"Near Prime "&amp;9.83&amp;"%",IF(AND(Table269678[[#This Row],[Credit Score:]]&lt;661,Table269678[[#This Row],[Credit Score:]]&gt;=601,Table269678[[#This Row],[New or Used Vehicle?]]="Used"),"Near Prime "&amp;13.74&amp;"%",IF(AND(Table269678[[#This Row],[Credit Score:]]&lt;601,Table269678[[#This Row],[Credit Score:]]&gt;=501,Table269678[[#This Row],[New or Used Vehicle?]]="New"),"Subprime " &amp;13.22&amp;"%",IF(AND(Table269678[[#This Row],[Credit Score:]]&lt;601,Table269678[[#This Row],[Credit Score:]]&gt;=501,Table269678[[#This Row],[New or Used Vehicle?]]="Used"),"Subprime "&amp; 18.99&amp;"%",IF(AND(Table269678[[#This Row],[Credit Score:]]&lt;501,Table269678[[#This Row],[Credit Score:]]&gt;=300,Table269678[[#This Row],[New or Used Vehicle?]]="New"),"Deep Subprime "&amp;15.81&amp;"%",IF(AND(Table269678[[#This Row],[Credit Score:]]&lt;501,Table269678[[#This Row],[Credit Score:]]&gt;=300,Table269678[[#This Row],[New or Used Vehicle?]]="Used"),"Deep Subprime " &amp;21.58&amp;"%"))))))))))</f>
        <v>Prime 9.06%</v>
      </c>
      <c r="BI9" s="76" t="str">
        <f>IF(Table269678[[#This Row],[Credit Score:]]&lt;580,"Poor",IF(AND(Table269678[[#This Row],[Credit Score:]]&gt;=580,Table269678[[#This Row],[Credit Score:]]&lt;=669),"Fair",IF(AND(Table269678[[#This Row],[Credit Score:]]&gt;669,Table269678[[#This Row],[Credit Score:]]&lt;=699),"Good",IF(AND(Table269678[[#This Row],[Credit Score:]]&gt;699,Table269678[[#This Row],[Credit Score:]]&lt;=739),"Very Good",IF(Table269678[[#This Row],[Credit Score:]]&gt;740,"Exceptional")))))</f>
        <v>Very Good</v>
      </c>
    </row>
    <row r="10" spans="1:63" ht="39.75" customHeight="1">
      <c r="A10" s="73"/>
      <c r="B10" s="51" t="s">
        <v>94</v>
      </c>
      <c r="C10" s="23">
        <v>29781</v>
      </c>
      <c r="D10" s="23" t="s">
        <v>95</v>
      </c>
      <c r="E10" s="23">
        <v>29000</v>
      </c>
      <c r="F10" s="48" t="str">
        <f t="shared" ref="F10:F11" si="1">IF(C10&gt;E10,"Over","Under")</f>
        <v>Over</v>
      </c>
      <c r="G10" s="46">
        <f t="shared" si="0"/>
        <v>2.6931034482758621E-2</v>
      </c>
      <c r="H10" s="35">
        <f>IF(Table269678[[#This Row],[HUT Tax Exemption?]]&lt;&gt;"N/A",0,IF(Table269678[[#This Row],[Trading In?]]="Y",Table269678[[#This Row],[Net with Trade In (Pre - Tax): ]]*Table269678[[#This Row],[HUT Tax Rate:]],IF(Table269678[[#This Row],[Trading In?]]="N",Table269678[[#This Row],[Net No Trade In (Pre - Tax): ]]*Table269678[[#This Row],[HUT Tax Rate:]])))</f>
        <v>734.43</v>
      </c>
      <c r="I10" s="19">
        <f>IF(Table269678[[#This Row],[Trading In?]]="Y",Table269678[[#This Row],[Net with Trade In (Pre - Tax): ]]+Table269678[[#This Row],[Sales Tax:]],IF(Table269678[[#This Row],[Trading In?]]="N",Table269678[[#This Row],[Net No Trade In (Pre - Tax): ]]+Table269678[[#This Row],[Sales Tax:]]))</f>
        <v>25215.43</v>
      </c>
      <c r="J10" s="19">
        <f>IF(AND(Table269678[[#This Row],[Paying for Admin Fee Out of Pocket? (Y/N):]]="N",Table269678[[#This Row],[Paying for DMV Fees Out of Pocket?]]="N"),Table269678[[#This Row],[Dealership Price:]]-Table269678[[#This Row],[Savings:]]-Table269678[[#This Row],[Rebate Amount:]]-Table269678[[#This Row],[Down Payment:]]+Table269678[[#This Row],[Admin Fee:]]+Table269678[[#This Row],[DMV Fees Total:]],IF(AND(Table269678[[#This Row],[Paying for Admin Fee Out of Pocket? (Y/N):]]="Y",Table269678[[#This Row],[Paying for DMV Fees Out of Pocket?]]="Y"),Table269678[[#This Row],[Dealership Price:]]-Table269678[[#This Row],[Savings:]]-Table269678[[#This Row],[Rebate Amount:]]-Table269678[[#This Row],[Down Payment:]],IF(AND(Table269678[[#This Row],[Paying for Admin Fee Out of Pocket? (Y/N):]]="Y",Table269678[[#This Row],[Paying for DMV Fees Out of Pocket?]]="N"),Table269678[[#This Row],[Dealership Price:]]+Table269678[[#This Row],[DMV Fees Total:]]-Table269678[[#This Row],[Savings:]]-Table269678[[#This Row],[Rebate Amount:]]-Table269678[[#This Row],[Down Payment:]],IF(AND(Q10="N",Z10="Y"),C10-R10-AQ10-AU10+N10))))</f>
        <v>24481</v>
      </c>
      <c r="K10" s="18" t="str">
        <f>IF(Table269678[[#This Row],[Trading In?]]="N","N/A",IF(AND(Table269678[[#This Row],[Trading In?]]="Y",Table269678[[#This Row],[Paying for Admin Fee Out of Pocket? (Y/N):]]="N"),Table269678[[#This Row],[Dealership Price:]]-Table269678[[#This Row],[Total To be Applied Off of Net Dealership Price After Pay Off, Rebate, Down Payment]]+Table269678[[#This Row],[Admin Fee:]],IF(AND(Table269678[[#This Row],[Trading In?]]="Y",Table269678[[#This Row],[Paying for Admin Fee Out of Pocket? (Y/N):]]="Y"),Table269678[[#This Row],[Dealership Price:]]-Table269678[[#This Row],[Total To be Applied Off of Net Dealership Price After Pay Off, Rebate, Down Payment]])))</f>
        <v>N/A</v>
      </c>
      <c r="L10" s="21" t="s">
        <v>73</v>
      </c>
      <c r="M10" s="42">
        <v>0.03</v>
      </c>
      <c r="N10" s="21">
        <v>799</v>
      </c>
      <c r="O10" s="22">
        <v>84</v>
      </c>
      <c r="P10" s="61">
        <f>PMT(AZ10,O10,Table269678[[#This Row],[Net Dealership Price with Sales Tax:]])</f>
        <v>-352.84893375572244</v>
      </c>
      <c r="Q10" s="26" t="s">
        <v>74</v>
      </c>
      <c r="R10" s="27">
        <v>0</v>
      </c>
      <c r="S10" s="27">
        <v>138</v>
      </c>
      <c r="T10" s="27">
        <f>Table269678[[#This Row],[Net Dealership Price with Sales Tax:]]</f>
        <v>25215.43</v>
      </c>
      <c r="U10" s="44">
        <f>CUMIPMT(AZ10,O10,Table269678[[#This Row],[Net Dealership Price with Sales Tax:]],1,O10,1)</f>
        <v>-4308.2460376664931</v>
      </c>
      <c r="V10" s="31">
        <v>66.75</v>
      </c>
      <c r="W10" s="31">
        <v>46.25</v>
      </c>
      <c r="X10" s="31">
        <v>206.93</v>
      </c>
      <c r="Y10" s="31">
        <f>Table269678[[#This Row],[Property Tax:]]+Table269678[[#This Row],[Registration Fee (For a Vehicle of Type "Car"):]]+Table269678[[#This Row],[One Time Title Fee:]]</f>
        <v>319.93</v>
      </c>
      <c r="Z10" s="31" t="s">
        <v>74</v>
      </c>
      <c r="AA10" s="27" t="s">
        <v>75</v>
      </c>
      <c r="AB10" s="27">
        <f>Table269678[[#This Row],[DMV Fees Total:]]+Table269678[[#This Row],[Non Tax Fees/ Other Fees:]]+Table269678[[#This Row],[Admin Fee:]]</f>
        <v>1256.93</v>
      </c>
      <c r="AC10" s="7" t="s">
        <v>75</v>
      </c>
      <c r="AD10" s="8" t="str">
        <f>IF(Table269678[[#This Row],[Trading In?]]="N","")</f>
        <v/>
      </c>
      <c r="AE10" s="8" t="str">
        <f>IF(Table269678[[#This Row],[Trading In?]]="N","")</f>
        <v/>
      </c>
      <c r="AF10" s="8" t="str">
        <f>IF(Table269678[[#This Row],[Trading In?]]="N","N/A",IF(Table269678[[#This Row],[Trading In?]]="Y",Table269678[[#This Row],[Dealer Offer For Trade In:]]-Table269678[[#This Row],[Loan Pay Off: ]]+Table269678[[#This Row],[Rebate Amount:]]+Table269678[[#This Row],[Down Payment:]]))</f>
        <v>N/A</v>
      </c>
      <c r="AG10" s="8"/>
      <c r="AH10" s="13"/>
      <c r="AI10" s="13"/>
      <c r="AJ10" s="13"/>
      <c r="AK10" s="13"/>
      <c r="AL10" s="13"/>
      <c r="AM10" s="13"/>
      <c r="AN10" s="13"/>
      <c r="AO10" s="53" t="str">
        <f>IF(Table269678[[#This Row],[Trading In?]]="N","N/A",IF(Table269678[[#This Row],[Trading In?]]="Y",ROUND(((Table269678[[#This Row],[Dealer Offer For Trade In:]]/Table269678[[#This Row],[KBB Selling:]]) - 1)* 100,2) &amp; " % " &amp; "/ " &amp; ROUND(((Table269678[[#This Row],[Dealer Offer For Trade In:]]/Table269678[[#This Row],[KBB Trading:]]) -1)* 100,2) &amp; "%"))</f>
        <v>N/A</v>
      </c>
      <c r="AP10" s="15" t="s">
        <v>74</v>
      </c>
      <c r="AQ10" s="15">
        <v>500</v>
      </c>
      <c r="AR10" s="15" t="s">
        <v>85</v>
      </c>
      <c r="AS10" s="15" t="s">
        <v>86</v>
      </c>
      <c r="AT10" s="15" t="str">
        <f>IF(AP10="N","",B10)</f>
        <v xml:space="preserve">2026 Toyota Camry LE </v>
      </c>
      <c r="AU10" s="63">
        <v>4800</v>
      </c>
      <c r="AV10" s="76" t="str">
        <f>IF(Table269678[[#This Row],[Term: ]]=36,"$"&amp;ROUNDUP(0.1*Table269678[[#This Row],[Dealership Price:]],0)&amp; "-"&amp;"$"&amp;ROUNDUP(0.15*Table269678[[#This Row],[Dealership Price:]],0),IF(Table269678[[#This Row],[Term: ]]=48,"$"&amp;ROUNDUP(0.15*Table269678[[#This Row],[Dealership Price:]],0)&amp;" - "&amp;"$"&amp;ROUNDUP(0.2*Table269678[[#This Row],[Dealership Price:]],0),IF(Table269678[[#This Row],[Term: ]]=60,"$"&amp;ROUNDUP(0.2*Table269678[[#This Row],[Dealership Price:]],0)&amp;" - "&amp;"$"&amp;ROUNDUP(0.25*Table269678[[#This Row],[Dealership Price:]],0),IF(Table269678[[#This Row],[Term: ]]=72,"$"&amp;ROUNDUP(0.25*Table269678[[#This Row],[Dealership Price:]],0)&amp;" - " &amp;"$"&amp;ROUNDUP(0.3*Table269678[[#This Row],[Dealership Price:]],0),IF(Table269678[[#This Row],[Term: ]]=84,"$"&amp;ROUNDUP(0.3*Table269678[[#This Row],[Dealership Price:]],0)&amp;" or More")))))</f>
        <v>$8935 or More</v>
      </c>
      <c r="AW10" s="63">
        <f>IF(AND(Table269678[[#This Row],[Paying for DMV Fees Out of Pocket?]]="Y",Table269678[[#This Row],[Paying for Admin Fee Out of Pocket? (Y/N):]]="Y"),Table269678[[#This Row],[Admin Fee:]]+Table269678[[#This Row],[DMV Fees Total:]]+Table269678[[#This Row],[Down Payment:]],IF(AND(Table269678[[#This Row],[Paying for DMV Fees Out of Pocket?]]="Y",Table269678[[#This Row],[Paying for Admin Fee Out of Pocket? (Y/N):]]="N"),Table269678[[#This Row],[DMV Fees Total:]]+Table269678[[#This Row],[Down Payment:]],IF(AND(Table269678[[#This Row],[Paying for DMV Fees Out of Pocket?]]="N",Table269678[[#This Row],[Paying for Admin Fee Out of Pocket? (Y/N):]]="Y"),Table269678[[#This Row],[Admin Fee:]]+Table269678[[#This Row],[Down Payment:]],IF(AND(Table269678[[#This Row],[Paying for DMV Fees Out of Pocket?]]="N",Table269678[[#This Row],[Paying for Admin Fee Out of Pocket? (Y/N):]]="N"),Table269678[[#This Row],[Down Payment:]]))))</f>
        <v>5918.93</v>
      </c>
      <c r="AX10" s="79">
        <f>Table269678[[#This Row],[Down Payment:]]/Table269678[[#This Row],[Dealership Price:]]</f>
        <v>0.16117658910043317</v>
      </c>
      <c r="AY10" s="82" t="str">
        <f>IF(Table269678[[#This Row],[Down Payment:]]&lt;=0.1*Table269678[[#This Row],[Dealership Price:]],8&amp;"%"&amp;" - "&amp;10&amp;"%",IF(Table269678[[#This Row],[Down Payment:]]&lt;=0.15*Table269678[[#This Row],[Dealership Price:]],7&amp;"%"&amp;" - "&amp;9&amp;"%",IF(Table269678[[#This Row],[Down Payment:]]&lt;=0.2*Table269678[[#This Row],[Dealership Price:]],6.5&amp;"%"&amp;" - "&amp;8&amp;"%",IF(Table269678[[#This Row],[Down Payment:]]&lt;=0.25*Table269678[[#This Row],[Dealership Price:]],5.9&amp;"%"&amp;" - "&amp;7.5&amp;"%",IF(Table269678[[#This Row],[Down Payment:]]&lt;=0.3*Table269678[[#This Row],[Dealership Price:]],5&amp;"%"&amp;" - "&amp;6.5&amp;"%")))))</f>
        <v>6.5% - 8%</v>
      </c>
      <c r="AZ10" s="59">
        <f>Table269678[[#This Row],[Annual Interest Rate/ APR:]]/12</f>
        <v>3.9166666666666664E-3</v>
      </c>
      <c r="BA10" s="62">
        <v>4.7E-2</v>
      </c>
      <c r="BB10" s="55">
        <f>Table269678[[#This Row],[Net Dealership Price with Sales Tax:]]</f>
        <v>25215.43</v>
      </c>
      <c r="BC10" s="55" t="str">
        <f>Table269678[[#This Row],[Loan Pay Off: ]]</f>
        <v/>
      </c>
      <c r="BD10" s="56" t="str">
        <f>Table269678[[#This Row],[New Loan: ]] &amp;" + " &amp; ABS(ROUND(Table269678[[#This Row],[Total Interest Paid:]],2)) &amp;" = " &amp; ROUND(Table269678[[#This Row],[New Loan: ]]-Table269678[[#This Row],[Total Interest Paid:]],2)</f>
        <v>25215.43 + 4308.25 = 29523.68</v>
      </c>
      <c r="BE10" s="83" t="str">
        <f>IF(Table269678[[#This Row],[Trading In?]]="N","N/A",IF(Table269678[[#This Row],[New Loan: ]]&gt;Table269678[[#This Row],[Current Loan: ]],"Higher",IF(Table269678[[#This Row],[New Loan: ]]&lt;Table269678[[#This Row],[Current Loan: ]],"Lower")))</f>
        <v>N/A</v>
      </c>
      <c r="BF10" s="83" t="s">
        <v>82</v>
      </c>
      <c r="BG10" s="84">
        <v>738</v>
      </c>
      <c r="BH10" s="80" t="str">
        <f>IF(AND(Table269678[[#This Row],[Credit Score:]]&gt;=781,Table269678[[#This Row],[New or Used Vehicle?]]="New"),"Super Prime "&amp; 5.18&amp;"%",IF(AND(Table269678[[#This Row],[Credit Score:]]&gt;=781,Table269678[[#This Row],[New or Used Vehicle?]]="Used"),"Super Prime "&amp;6.82&amp;"%",IF(AND(Table269678[[#This Row],[Credit Score:]]&lt;781,Table269678[[#This Row],[Credit Score:]]&gt;=661,Table269678[[#This Row],[New or Used Vehicle?]]="New"),"Prime "&amp;6.7&amp;"%",IF(AND(Table269678[[#This Row],[Credit Score:]]&lt;781,Table269678[[#This Row],[Credit Score:]]&gt;=661,Table269678[[#This Row],[New or Used Vehicle?]]="Used"),"Prime "&amp;9.06&amp;"%",IF(AND(Table269678[[#This Row],[Credit Score:]]&lt;661,Table269678[[#This Row],[Credit Score:]]&gt;=601,Table269678[[#This Row],[New or Used Vehicle?]]="New"),"Near Prime "&amp;9.83&amp;"%",IF(AND(Table269678[[#This Row],[Credit Score:]]&lt;661,Table269678[[#This Row],[Credit Score:]]&gt;=601,Table269678[[#This Row],[New or Used Vehicle?]]="Used"),"Near Prime "&amp;13.74&amp;"%",IF(AND(Table269678[[#This Row],[Credit Score:]]&lt;601,Table269678[[#This Row],[Credit Score:]]&gt;=501,Table269678[[#This Row],[New or Used Vehicle?]]="New"),"Subprime " &amp;13.22&amp;"%",IF(AND(Table269678[[#This Row],[Credit Score:]]&lt;601,Table269678[[#This Row],[Credit Score:]]&gt;=501,Table269678[[#This Row],[New or Used Vehicle?]]="Used"),"Subprime "&amp; 18.99&amp;"%",IF(AND(Table269678[[#This Row],[Credit Score:]]&lt;501,Table269678[[#This Row],[Credit Score:]]&gt;=300,Table269678[[#This Row],[New or Used Vehicle?]]="New"),"Deep Subprime "&amp;15.81&amp;"%",IF(AND(Table269678[[#This Row],[Credit Score:]]&lt;501,Table269678[[#This Row],[Credit Score:]]&gt;=300,Table269678[[#This Row],[New or Used Vehicle?]]="Used"),"Deep Subprime " &amp;21.58&amp;"%"))))))))))</f>
        <v>Prime 6.7%</v>
      </c>
      <c r="BI10" s="76" t="str">
        <f>IF(Table269678[[#This Row],[Credit Score:]]&lt;580,"Poor",IF(AND(Table269678[[#This Row],[Credit Score:]]&gt;=580,Table269678[[#This Row],[Credit Score:]]&lt;=669),"Fair",IF(AND(Table269678[[#This Row],[Credit Score:]]&gt;669,Table269678[[#This Row],[Credit Score:]]&lt;=699),"Good",IF(AND(Table269678[[#This Row],[Credit Score:]]&gt;699,Table269678[[#This Row],[Credit Score:]]&lt;=739),"Very Good",IF(Table269678[[#This Row],[Credit Score:]]&gt;740,"Exceptional")))))</f>
        <v>Very Good</v>
      </c>
    </row>
    <row r="11" spans="1:63" ht="48" customHeight="1">
      <c r="A11" s="73"/>
      <c r="B11" s="51" t="s">
        <v>96</v>
      </c>
      <c r="C11" s="23">
        <v>26300</v>
      </c>
      <c r="D11" s="23" t="s">
        <v>91</v>
      </c>
      <c r="E11" s="23">
        <v>26200</v>
      </c>
      <c r="F11" s="48" t="str">
        <f t="shared" si="1"/>
        <v>Over</v>
      </c>
      <c r="G11" s="46">
        <f t="shared" si="0"/>
        <v>3.8167938931297708E-3</v>
      </c>
      <c r="H11" s="35">
        <f>IF(Table269678[[#This Row],[HUT Tax Exemption?]]&lt;&gt;"N/A",0,IF(Table269678[[#This Row],[Trading In?]]="Y",Table269678[[#This Row],[Net with Trade In (Pre - Tax): ]]*Table269678[[#This Row],[HUT Tax Rate:]],IF(Table269678[[#This Row],[Trading In?]]="N",Table269678[[#This Row],[Net No Trade In (Pre - Tax): ]]*Table269678[[#This Row],[HUT Tax Rate:]])))</f>
        <v>684</v>
      </c>
      <c r="I11" s="19">
        <f>IF(Table269678[[#This Row],[Trading In?]]="Y",Table269678[[#This Row],[Net with Trade In (Pre - Tax): ]]+Table269678[[#This Row],[Sales Tax:]],IF(Table269678[[#This Row],[Trading In?]]="N",Table269678[[#This Row],[Net No Trade In (Pre - Tax): ]]+Table269678[[#This Row],[Sales Tax:]]))</f>
        <v>23484</v>
      </c>
      <c r="J11" s="19">
        <f>IF(AND(Table269678[[#This Row],[Paying for Admin Fee Out of Pocket? (Y/N):]]="N",Table269678[[#This Row],[Paying for DMV Fees Out of Pocket?]]="N"),Table269678[[#This Row],[Dealership Price:]]-Table269678[[#This Row],[Savings:]]-Table269678[[#This Row],[Rebate Amount:]]-Table269678[[#This Row],[Down Payment:]]+Table269678[[#This Row],[Admin Fee:]]+Table269678[[#This Row],[DMV Fees Total:]],IF(AND(Table269678[[#This Row],[Paying for Admin Fee Out of Pocket? (Y/N):]]="Y",Table269678[[#This Row],[Paying for DMV Fees Out of Pocket?]]="Y"),Table269678[[#This Row],[Dealership Price:]]-Table269678[[#This Row],[Savings:]]-Table269678[[#This Row],[Rebate Amount:]]-Table269678[[#This Row],[Down Payment:]],IF(AND(Table269678[[#This Row],[Paying for Admin Fee Out of Pocket? (Y/N):]]="Y",Table269678[[#This Row],[Paying for DMV Fees Out of Pocket?]]="N"),Table269678[[#This Row],[Dealership Price:]]+Table269678[[#This Row],[DMV Fees Total:]]-Table269678[[#This Row],[Savings:]]-Table269678[[#This Row],[Rebate Amount:]]-Table269678[[#This Row],[Down Payment:]],IF(AND(Q11="N",Z11="Y"),C11-R11-AQ11-AU11+N11))))</f>
        <v>22800</v>
      </c>
      <c r="K11" s="18" t="str">
        <f>IF(Table269678[[#This Row],[Trading In?]]="N","N/A",IF(AND(Table269678[[#This Row],[Trading In?]]="Y",Table269678[[#This Row],[Paying for Admin Fee Out of Pocket? (Y/N):]]="N"),Table269678[[#This Row],[Dealership Price:]]-Table269678[[#This Row],[Total To be Applied Off of Net Dealership Price After Pay Off, Rebate, Down Payment]]+Table269678[[#This Row],[Admin Fee:]],IF(AND(Table269678[[#This Row],[Trading In?]]="Y",Table269678[[#This Row],[Paying for Admin Fee Out of Pocket? (Y/N):]]="Y"),Table269678[[#This Row],[Dealership Price:]]-Table269678[[#This Row],[Total To be Applied Off of Net Dealership Price After Pay Off, Rebate, Down Payment]])))</f>
        <v>N/A</v>
      </c>
      <c r="L11" s="21" t="s">
        <v>73</v>
      </c>
      <c r="M11" s="42">
        <v>0.03</v>
      </c>
      <c r="N11" s="21">
        <v>698</v>
      </c>
      <c r="O11" s="22">
        <v>72</v>
      </c>
      <c r="P11" s="61">
        <f>PMT(AZ11,O11,Table269678[[#This Row],[Net Dealership Price with Sales Tax:]])</f>
        <v>-408.31915651299158</v>
      </c>
      <c r="Q11" s="26" t="s">
        <v>74</v>
      </c>
      <c r="R11" s="27">
        <v>0</v>
      </c>
      <c r="S11" s="27">
        <v>138</v>
      </c>
      <c r="T11" s="27">
        <f>Table269678[[#This Row],[Net Dealership Price with Sales Tax:]]</f>
        <v>23484</v>
      </c>
      <c r="U11" s="44">
        <f>CUMIPMT(AZ11,O11,Table269678[[#This Row],[Net Dealership Price with Sales Tax:]],1,O11,1)</f>
        <v>-5727.5385631551435</v>
      </c>
      <c r="V11" s="31">
        <v>66.75</v>
      </c>
      <c r="W11" s="31">
        <v>46.25</v>
      </c>
      <c r="X11" s="31">
        <v>102.42</v>
      </c>
      <c r="Y11" s="31">
        <f>Table269678[[#This Row],[Property Tax:]]+Table269678[[#This Row],[Registration Fee (For a Vehicle of Type "Car"):]]+Table269678[[#This Row],[One Time Title Fee:]]</f>
        <v>215.42000000000002</v>
      </c>
      <c r="Z11" s="31" t="s">
        <v>74</v>
      </c>
      <c r="AA11" s="27" t="s">
        <v>75</v>
      </c>
      <c r="AB11" s="27">
        <f>Table269678[[#This Row],[DMV Fees Total:]]+Table269678[[#This Row],[Non Tax Fees/ Other Fees:]]+Table269678[[#This Row],[Admin Fee:]]</f>
        <v>1051.42</v>
      </c>
      <c r="AC11" s="7" t="s">
        <v>75</v>
      </c>
      <c r="AD11" s="8" t="str">
        <f>IF(Table269678[[#This Row],[Trading In?]]="N","")</f>
        <v/>
      </c>
      <c r="AE11" s="8" t="str">
        <f>IF(Table269678[[#This Row],[Trading In?]]="N","")</f>
        <v/>
      </c>
      <c r="AF11" s="8" t="str">
        <f>IF(Table269678[[#This Row],[Trading In?]]="N","N/A",IF(Table269678[[#This Row],[Trading In?]]="Y",Table269678[[#This Row],[Dealer Offer For Trade In:]]-Table269678[[#This Row],[Loan Pay Off: ]]+Table269678[[#This Row],[Rebate Amount:]]+Table269678[[#This Row],[Down Payment:]]))</f>
        <v>N/A</v>
      </c>
      <c r="AG11" s="8"/>
      <c r="AH11" s="13"/>
      <c r="AI11" s="13"/>
      <c r="AJ11" s="13"/>
      <c r="AK11" s="13"/>
      <c r="AL11" s="13"/>
      <c r="AM11" s="13"/>
      <c r="AN11" s="13"/>
      <c r="AO11" s="53" t="str">
        <f>IF(Table269678[[#This Row],[Trading In?]]="N","N/A",IF(Table269678[[#This Row],[Trading In?]]="Y",ROUND(((Table269678[[#This Row],[Dealer Offer For Trade In:]]/Table269678[[#This Row],[KBB Selling:]]) - 1)* 100,2) &amp; " % " &amp; "/ " &amp; ROUND(((Table269678[[#This Row],[Dealer Offer For Trade In:]]/Table269678[[#This Row],[KBB Trading:]]) -1)* 100,2) &amp; "%"))</f>
        <v>N/A</v>
      </c>
      <c r="AP11" s="15" t="s">
        <v>74</v>
      </c>
      <c r="AQ11" s="15">
        <v>500</v>
      </c>
      <c r="AR11" s="15" t="s">
        <v>93</v>
      </c>
      <c r="AS11" s="15" t="s">
        <v>77</v>
      </c>
      <c r="AT11" s="15" t="str">
        <f>IF(AP11="N","",B11)</f>
        <v>2026 Honda HR-V LX</v>
      </c>
      <c r="AU11" s="63">
        <v>3000</v>
      </c>
      <c r="AV11" s="76" t="str">
        <f>IF(Table269678[[#This Row],[Term: ]]=36,"$"&amp;ROUNDUP(0.1*Table269678[[#This Row],[Dealership Price:]],0)&amp; "-"&amp;"$"&amp;ROUNDUP(0.15*Table269678[[#This Row],[Dealership Price:]],0),IF(Table269678[[#This Row],[Term: ]]=48,"$"&amp;ROUNDUP(0.15*Table269678[[#This Row],[Dealership Price:]],0)&amp;" - "&amp;"$"&amp;ROUNDUP(0.2*Table269678[[#This Row],[Dealership Price:]],0),IF(Table269678[[#This Row],[Term: ]]=60,"$"&amp;ROUNDUP(0.2*Table269678[[#This Row],[Dealership Price:]],0)&amp;" - "&amp;"$"&amp;ROUNDUP(0.25*Table269678[[#This Row],[Dealership Price:]],0),IF(Table269678[[#This Row],[Term: ]]=72,"$"&amp;ROUNDUP(0.25*Table269678[[#This Row],[Dealership Price:]],0)&amp;" - " &amp;"$"&amp;ROUNDUP(0.3*Table269678[[#This Row],[Dealership Price:]],0),IF(Table269678[[#This Row],[Term: ]]=84,"$"&amp;ROUNDUP(0.3*Table269678[[#This Row],[Dealership Price:]],0)&amp;" or More")))))</f>
        <v>$6575 - $7890</v>
      </c>
      <c r="AW11" s="63">
        <f>IF(AND(Table269678[[#This Row],[Paying for DMV Fees Out of Pocket?]]="Y",Table269678[[#This Row],[Paying for Admin Fee Out of Pocket? (Y/N):]]="Y"),Table269678[[#This Row],[Admin Fee:]]+Table269678[[#This Row],[DMV Fees Total:]]+Table269678[[#This Row],[Down Payment:]],IF(AND(Table269678[[#This Row],[Paying for DMV Fees Out of Pocket?]]="Y",Table269678[[#This Row],[Paying for Admin Fee Out of Pocket? (Y/N):]]="N"),Table269678[[#This Row],[DMV Fees Total:]]+Table269678[[#This Row],[Down Payment:]],IF(AND(Table269678[[#This Row],[Paying for DMV Fees Out of Pocket?]]="N",Table269678[[#This Row],[Paying for Admin Fee Out of Pocket? (Y/N):]]="Y"),Table269678[[#This Row],[Admin Fee:]]+Table269678[[#This Row],[Down Payment:]],IF(AND(Table269678[[#This Row],[Paying for DMV Fees Out of Pocket?]]="N",Table269678[[#This Row],[Paying for Admin Fee Out of Pocket? (Y/N):]]="N"),Table269678[[#This Row],[Down Payment:]]))))</f>
        <v>3913.42</v>
      </c>
      <c r="AX11" s="79">
        <f>Table269678[[#This Row],[Down Payment:]]/Table269678[[#This Row],[Dealership Price:]]</f>
        <v>0.11406844106463879</v>
      </c>
      <c r="AY11" s="82" t="str">
        <f>IF(Table269678[[#This Row],[Down Payment:]]&lt;=0.1*Table269678[[#This Row],[Dealership Price:]],8&amp;"%"&amp;" - "&amp;10&amp;"%",IF(Table269678[[#This Row],[Down Payment:]]&lt;=0.15*Table269678[[#This Row],[Dealership Price:]],7&amp;"%"&amp;" - "&amp;9&amp;"%",IF(Table269678[[#This Row],[Down Payment:]]&lt;=0.2*Table269678[[#This Row],[Dealership Price:]],6.5&amp;"%"&amp;" - "&amp;8&amp;"%",IF(Table269678[[#This Row],[Down Payment:]]&lt;=0.25*Table269678[[#This Row],[Dealership Price:]],5.9&amp;"%"&amp;" - "&amp;7.5&amp;"%",IF(Table269678[[#This Row],[Down Payment:]]&lt;=0.3*Table269678[[#This Row],[Dealership Price:]],5&amp;"%"&amp;" - "&amp;6.5&amp;"%")))))</f>
        <v>7% - 9%</v>
      </c>
      <c r="AZ11" s="59">
        <f>Table269678[[#This Row],[Annual Interest Rate/ APR:]]/12</f>
        <v>6.4166666666666669E-3</v>
      </c>
      <c r="BA11" s="62">
        <v>7.6999999999999999E-2</v>
      </c>
      <c r="BB11" s="55">
        <f>Table269678[[#This Row],[Net Dealership Price with Sales Tax:]]</f>
        <v>23484</v>
      </c>
      <c r="BC11" s="55" t="str">
        <f>Table269678[[#This Row],[Loan Pay Off: ]]</f>
        <v/>
      </c>
      <c r="BD11" s="56" t="str">
        <f>Table269678[[#This Row],[New Loan: ]] &amp;" + " &amp; ABS(ROUND(Table269678[[#This Row],[Total Interest Paid:]],2)) &amp;" = " &amp; ROUND(Table269678[[#This Row],[New Loan: ]]-Table269678[[#This Row],[Total Interest Paid:]],2)</f>
        <v>23484 + 5727.54 = 29211.54</v>
      </c>
      <c r="BE11" s="83" t="str">
        <f>IF(Table269678[[#This Row],[Trading In?]]="N","N/A",IF(Table269678[[#This Row],[New Loan: ]]&gt;Table269678[[#This Row],[Current Loan: ]],"Higher",IF(Table269678[[#This Row],[New Loan: ]]&lt;Table269678[[#This Row],[Current Loan: ]],"Lower")))</f>
        <v>N/A</v>
      </c>
      <c r="BF11" s="83" t="s">
        <v>82</v>
      </c>
      <c r="BG11" s="84">
        <v>672</v>
      </c>
      <c r="BH11" s="80" t="str">
        <f>IF(AND(Table269678[[#This Row],[Credit Score:]]&gt;=781,Table269678[[#This Row],[New or Used Vehicle?]]="New"),"Super Prime "&amp; 5.18&amp;"%",IF(AND(Table269678[[#This Row],[Credit Score:]]&gt;=781,Table269678[[#This Row],[New or Used Vehicle?]]="Used"),"Super Prime "&amp;6.82&amp;"%",IF(AND(Table269678[[#This Row],[Credit Score:]]&lt;781,Table269678[[#This Row],[Credit Score:]]&gt;=661,Table269678[[#This Row],[New or Used Vehicle?]]="New"),"Prime "&amp;6.7&amp;"%",IF(AND(Table269678[[#This Row],[Credit Score:]]&lt;781,Table269678[[#This Row],[Credit Score:]]&gt;=661,Table269678[[#This Row],[New or Used Vehicle?]]="Used"),"Prime "&amp;9.06&amp;"%",IF(AND(Table269678[[#This Row],[Credit Score:]]&lt;661,Table269678[[#This Row],[Credit Score:]]&gt;=601,Table269678[[#This Row],[New or Used Vehicle?]]="New"),"Near Prime "&amp;9.83&amp;"%",IF(AND(Table269678[[#This Row],[Credit Score:]]&lt;661,Table269678[[#This Row],[Credit Score:]]&gt;=601,Table269678[[#This Row],[New or Used Vehicle?]]="Used"),"Near Prime "&amp;13.74&amp;"%",IF(AND(Table269678[[#This Row],[Credit Score:]]&lt;601,Table269678[[#This Row],[Credit Score:]]&gt;=501,Table269678[[#This Row],[New or Used Vehicle?]]="New"),"Subprime " &amp;13.22&amp;"%",IF(AND(Table269678[[#This Row],[Credit Score:]]&lt;601,Table269678[[#This Row],[Credit Score:]]&gt;=501,Table269678[[#This Row],[New or Used Vehicle?]]="Used"),"Subprime "&amp; 18.99&amp;"%",IF(AND(Table269678[[#This Row],[Credit Score:]]&lt;501,Table269678[[#This Row],[Credit Score:]]&gt;=300,Table269678[[#This Row],[New or Used Vehicle?]]="New"),"Deep Subprime "&amp;15.81&amp;"%",IF(AND(Table269678[[#This Row],[Credit Score:]]&lt;501,Table269678[[#This Row],[Credit Score:]]&gt;=300,Table269678[[#This Row],[New or Used Vehicle?]]="Used"),"Deep Subprime " &amp;21.58&amp;"%"))))))))))</f>
        <v>Prime 6.7%</v>
      </c>
      <c r="BI11" s="76" t="str">
        <f>IF(Table269678[[#This Row],[Credit Score:]]&lt;580,"Poor",IF(AND(Table269678[[#This Row],[Credit Score:]]&gt;=580,Table269678[[#This Row],[Credit Score:]]&lt;=669),"Fair",IF(AND(Table269678[[#This Row],[Credit Score:]]&gt;669,Table269678[[#This Row],[Credit Score:]]&lt;=699),"Good",IF(AND(Table269678[[#This Row],[Credit Score:]]&gt;699,Table269678[[#This Row],[Credit Score:]]&lt;=739),"Very Good",IF(Table269678[[#This Row],[Credit Score:]]&gt;740,"Exceptional")))))</f>
        <v>Good</v>
      </c>
    </row>
    <row r="12" spans="1:63" ht="35.25" customHeight="1">
      <c r="A12" s="73"/>
      <c r="B12" s="51" t="s">
        <v>97</v>
      </c>
      <c r="C12" s="23">
        <v>31321</v>
      </c>
      <c r="D12" s="23" t="s">
        <v>84</v>
      </c>
      <c r="E12" s="23">
        <v>31590</v>
      </c>
      <c r="F12" s="48" t="str">
        <f t="shared" ref="F12" si="2">IF(C12&gt;E12,"Over","Under")</f>
        <v>Under</v>
      </c>
      <c r="G12" s="46">
        <f t="shared" ref="G12" si="3">(C12-E12)/E12</f>
        <v>-8.5153529597974051E-3</v>
      </c>
      <c r="H12" s="35">
        <f>IF(Table269678[[#This Row],[HUT Tax Exemption?]]&lt;&gt;"N/A",0,IF(Table269678[[#This Row],[Trading In?]]="Y",Table269678[[#This Row],[Net with Trade In (Pre - Tax): ]]*Table269678[[#This Row],[HUT Tax Rate:]],IF(Table269678[[#This Row],[Trading In?]]="N",Table269678[[#This Row],[Net No Trade In (Pre - Tax): ]]*Table269678[[#This Row],[HUT Tax Rate:]])))</f>
        <v>813.63</v>
      </c>
      <c r="I12" s="19">
        <f>IF(Table269678[[#This Row],[Trading In?]]="Y",Table269678[[#This Row],[Net with Trade In (Pre - Tax): ]]+Table269678[[#This Row],[Sales Tax:]],IF(Table269678[[#This Row],[Trading In?]]="N",Table269678[[#This Row],[Net No Trade In (Pre - Tax): ]]+Table269678[[#This Row],[Sales Tax:]]))</f>
        <v>27934.63</v>
      </c>
      <c r="J12" s="19">
        <f>IF(AND(Table269678[[#This Row],[Paying for Admin Fee Out of Pocket? (Y/N):]]="N",Table269678[[#This Row],[Paying for DMV Fees Out of Pocket?]]="N"),Table269678[[#This Row],[Dealership Price:]]-Table269678[[#This Row],[Savings:]]-Table269678[[#This Row],[Rebate Amount:]]-Table269678[[#This Row],[Down Payment:]]+Table269678[[#This Row],[Admin Fee:]]+Table269678[[#This Row],[DMV Fees Total:]],IF(AND(Table269678[[#This Row],[Paying for Admin Fee Out of Pocket? (Y/N):]]="Y",Table269678[[#This Row],[Paying for DMV Fees Out of Pocket?]]="Y"),Table269678[[#This Row],[Dealership Price:]]-Table269678[[#This Row],[Savings:]]-Table269678[[#This Row],[Rebate Amount:]]-Table269678[[#This Row],[Down Payment:]],IF(AND(Table269678[[#This Row],[Paying for Admin Fee Out of Pocket? (Y/N):]]="Y",Table269678[[#This Row],[Paying for DMV Fees Out of Pocket?]]="N"),Table269678[[#This Row],[Dealership Price:]]+Table269678[[#This Row],[DMV Fees Total:]]-Table269678[[#This Row],[Savings:]]-Table269678[[#This Row],[Rebate Amount:]]-Table269678[[#This Row],[Down Payment:]],IF(AND(Q12="N",Z12="Y"),C12-R12-AQ12-AU12+N12))))</f>
        <v>27121</v>
      </c>
      <c r="K12" s="18" t="str">
        <f>IF(Table269678[[#This Row],[Trading In?]]="N","N/A",IF(AND(Table269678[[#This Row],[Trading In?]]="Y",Table269678[[#This Row],[Paying for Admin Fee Out of Pocket? (Y/N):]]="N"),Table269678[[#This Row],[Dealership Price:]]-Table269678[[#This Row],[Total To be Applied Off of Net Dealership Price After Pay Off, Rebate, Down Payment]]+Table269678[[#This Row],[Admin Fee:]],IF(AND(Table269678[[#This Row],[Trading In?]]="Y",Table269678[[#This Row],[Paying for Admin Fee Out of Pocket? (Y/N):]]="Y"),Table269678[[#This Row],[Dealership Price:]]-Table269678[[#This Row],[Total To be Applied Off of Net Dealership Price After Pay Off, Rebate, Down Payment]])))</f>
        <v>N/A</v>
      </c>
      <c r="L12" s="21" t="s">
        <v>73</v>
      </c>
      <c r="M12" s="42">
        <v>0.03</v>
      </c>
      <c r="N12" s="21">
        <v>699</v>
      </c>
      <c r="O12" s="22">
        <v>72</v>
      </c>
      <c r="P12" s="61">
        <f>PMT(AZ12,O12,Table269678[[#This Row],[Net Dealership Price with Sales Tax:]])</f>
        <v>-472.24376105271125</v>
      </c>
      <c r="Q12" s="26" t="s">
        <v>74</v>
      </c>
      <c r="R12" s="27">
        <v>0</v>
      </c>
      <c r="S12" s="27">
        <v>138</v>
      </c>
      <c r="T12" s="27">
        <f>Table269678[[#This Row],[Net Dealership Price with Sales Tax:]]</f>
        <v>27934.63</v>
      </c>
      <c r="U12" s="44">
        <f>CUMIPMT(AZ12,O12,Table269678[[#This Row],[Net Dealership Price with Sales Tax:]],1,O12,1)</f>
        <v>-5878.132869772322</v>
      </c>
      <c r="V12" s="31">
        <v>66.75</v>
      </c>
      <c r="W12" s="31">
        <v>46.25</v>
      </c>
      <c r="X12" s="31">
        <v>102.42</v>
      </c>
      <c r="Y12" s="31">
        <f>Table269678[[#This Row],[Property Tax:]]+Table269678[[#This Row],[Registration Fee (For a Vehicle of Type "Car"):]]+Table269678[[#This Row],[One Time Title Fee:]]</f>
        <v>215.42000000000002</v>
      </c>
      <c r="Z12" s="31" t="s">
        <v>74</v>
      </c>
      <c r="AA12" s="27" t="s">
        <v>75</v>
      </c>
      <c r="AB12" s="27">
        <f>Table269678[[#This Row],[DMV Fees Total:]]+Table269678[[#This Row],[Non Tax Fees/ Other Fees:]]+Table269678[[#This Row],[Admin Fee:]]</f>
        <v>1052.42</v>
      </c>
      <c r="AC12" s="7" t="s">
        <v>75</v>
      </c>
      <c r="AD12" s="8" t="str">
        <f>IF(Table269678[[#This Row],[Trading In?]]="N","")</f>
        <v/>
      </c>
      <c r="AE12" s="8" t="str">
        <f>IF(Table269678[[#This Row],[Trading In?]]="N","")</f>
        <v/>
      </c>
      <c r="AF12" s="8" t="str">
        <f>IF(Table269678[[#This Row],[Trading In?]]="N","N/A",IF(Table269678[[#This Row],[Trading In?]]="Y",Table269678[[#This Row],[Dealer Offer For Trade In:]]-Table269678[[#This Row],[Loan Pay Off: ]]+Table269678[[#This Row],[Rebate Amount:]]+Table269678[[#This Row],[Down Payment:]]))</f>
        <v>N/A</v>
      </c>
      <c r="AG12" s="8"/>
      <c r="AH12" s="13"/>
      <c r="AI12" s="13"/>
      <c r="AJ12" s="13"/>
      <c r="AK12" s="13"/>
      <c r="AL12" s="13"/>
      <c r="AM12" s="13"/>
      <c r="AN12" s="13"/>
      <c r="AO12" s="53" t="str">
        <f>IF(Table269678[[#This Row],[Trading In?]]="N","N/A",IF(Table269678[[#This Row],[Trading In?]]="Y",ROUND(((Table269678[[#This Row],[Dealer Offer For Trade In:]]/Table269678[[#This Row],[KBB Selling:]]) - 1)* 100,2) &amp; " % " &amp; "/ " &amp; ROUND(((Table269678[[#This Row],[Dealer Offer For Trade In:]]/Table269678[[#This Row],[KBB Trading:]]) -1)* 100,2) &amp; "%"))</f>
        <v>N/A</v>
      </c>
      <c r="AP12" s="15" t="s">
        <v>74</v>
      </c>
      <c r="AQ12" s="15">
        <v>500</v>
      </c>
      <c r="AR12" s="15" t="s">
        <v>85</v>
      </c>
      <c r="AS12" s="15" t="s">
        <v>86</v>
      </c>
      <c r="AT12" s="15" t="str">
        <f>IF(AP12="N","",B12)</f>
        <v>2025 Toyota Tacoma SR</v>
      </c>
      <c r="AU12" s="63">
        <v>3700</v>
      </c>
      <c r="AV12" s="76" t="str">
        <f>IF(Table269678[[#This Row],[Term: ]]=36,"$"&amp;ROUNDUP(0.1*Table269678[[#This Row],[Dealership Price:]],0)&amp; "-"&amp;"$"&amp;ROUNDUP(0.15*Table269678[[#This Row],[Dealership Price:]],0),IF(Table269678[[#This Row],[Term: ]]=48,"$"&amp;ROUNDUP(0.15*Table269678[[#This Row],[Dealership Price:]],0)&amp;" - "&amp;"$"&amp;ROUNDUP(0.2*Table269678[[#This Row],[Dealership Price:]],0),IF(Table269678[[#This Row],[Term: ]]=60,"$"&amp;ROUNDUP(0.2*Table269678[[#This Row],[Dealership Price:]],0)&amp;" - "&amp;"$"&amp;ROUNDUP(0.25*Table269678[[#This Row],[Dealership Price:]],0),IF(Table269678[[#This Row],[Term: ]]=72,"$"&amp;ROUNDUP(0.25*Table269678[[#This Row],[Dealership Price:]],0)&amp;" - " &amp;"$"&amp;ROUNDUP(0.3*Table269678[[#This Row],[Dealership Price:]],0),IF(Table269678[[#This Row],[Term: ]]=84,"$"&amp;ROUNDUP(0.3*Table269678[[#This Row],[Dealership Price:]],0)&amp;" or More")))))</f>
        <v>$7831 - $9397</v>
      </c>
      <c r="AW12" s="63">
        <f>IF(AND(Table269678[[#This Row],[Paying for DMV Fees Out of Pocket?]]="Y",Table269678[[#This Row],[Paying for Admin Fee Out of Pocket? (Y/N):]]="Y"),Table269678[[#This Row],[Admin Fee:]]+Table269678[[#This Row],[DMV Fees Total:]]+Table269678[[#This Row],[Down Payment:]],IF(AND(Table269678[[#This Row],[Paying for DMV Fees Out of Pocket?]]="Y",Table269678[[#This Row],[Paying for Admin Fee Out of Pocket? (Y/N):]]="N"),Table269678[[#This Row],[DMV Fees Total:]]+Table269678[[#This Row],[Down Payment:]],IF(AND(Table269678[[#This Row],[Paying for DMV Fees Out of Pocket?]]="N",Table269678[[#This Row],[Paying for Admin Fee Out of Pocket? (Y/N):]]="Y"),Table269678[[#This Row],[Admin Fee:]]+Table269678[[#This Row],[Down Payment:]],IF(AND(Table269678[[#This Row],[Paying for DMV Fees Out of Pocket?]]="N",Table269678[[#This Row],[Paying for Admin Fee Out of Pocket? (Y/N):]]="N"),Table269678[[#This Row],[Down Payment:]]))))</f>
        <v>4614.42</v>
      </c>
      <c r="AX12" s="79">
        <f>Table269678[[#This Row],[Down Payment:]]/Table269678[[#This Row],[Dealership Price:]]</f>
        <v>0.11813160499345488</v>
      </c>
      <c r="AY12" s="82" t="str">
        <f>IF(Table269678[[#This Row],[Down Payment:]]&lt;=0.1*Table269678[[#This Row],[Dealership Price:]],8&amp;"%"&amp;" - "&amp;10&amp;"%",IF(Table269678[[#This Row],[Down Payment:]]&lt;=0.15*Table269678[[#This Row],[Dealership Price:]],7&amp;"%"&amp;" - "&amp;9&amp;"%",IF(Table269678[[#This Row],[Down Payment:]]&lt;=0.2*Table269678[[#This Row],[Dealership Price:]],6.5&amp;"%"&amp;" - "&amp;8&amp;"%",IF(Table269678[[#This Row],[Down Payment:]]&lt;=0.25*Table269678[[#This Row],[Dealership Price:]],5.9&amp;"%"&amp;" - "&amp;7.5&amp;"%",IF(Table269678[[#This Row],[Down Payment:]]&lt;=0.3*Table269678[[#This Row],[Dealership Price:]],5&amp;"%"&amp;" - "&amp;6.5&amp;"%")))))</f>
        <v>7% - 9%</v>
      </c>
      <c r="AZ12" s="59">
        <f>Table269678[[#This Row],[Annual Interest Rate/ APR:]]/12</f>
        <v>5.5833333333333334E-3</v>
      </c>
      <c r="BA12" s="62">
        <v>6.7000000000000004E-2</v>
      </c>
      <c r="BB12" s="55">
        <f>Table269678[[#This Row],[Net Dealership Price with Sales Tax:]]</f>
        <v>27934.63</v>
      </c>
      <c r="BC12" s="55" t="str">
        <f>Table269678[[#This Row],[Loan Pay Off: ]]</f>
        <v/>
      </c>
      <c r="BD12" s="56" t="str">
        <f>Table269678[[#This Row],[New Loan: ]] &amp;" + " &amp; ABS(ROUND(Table269678[[#This Row],[Total Interest Paid:]],2)) &amp;" = " &amp; ROUND(Table269678[[#This Row],[New Loan: ]]-Table269678[[#This Row],[Total Interest Paid:]],2)</f>
        <v>27934.63 + 5878.13 = 33812.76</v>
      </c>
      <c r="BE12" s="83" t="str">
        <f>IF(Table269678[[#This Row],[Trading In?]]="N","N/A",IF(Table269678[[#This Row],[New Loan: ]]&gt;Table269678[[#This Row],[Current Loan: ]],"Higher",IF(Table269678[[#This Row],[New Loan: ]]&lt;Table269678[[#This Row],[Current Loan: ]],"Lower")))</f>
        <v>N/A</v>
      </c>
      <c r="BF12" s="83" t="s">
        <v>82</v>
      </c>
      <c r="BG12" s="84">
        <v>672</v>
      </c>
      <c r="BH12" s="80" t="str">
        <f>IF(AND(Table269678[[#This Row],[Credit Score:]]&gt;=781,Table269678[[#This Row],[New or Used Vehicle?]]="New"),"Super Prime "&amp; 5.18&amp;"%",IF(AND(Table269678[[#This Row],[Credit Score:]]&gt;=781,Table269678[[#This Row],[New or Used Vehicle?]]="Used"),"Super Prime "&amp;6.82&amp;"%",IF(AND(Table269678[[#This Row],[Credit Score:]]&lt;781,Table269678[[#This Row],[Credit Score:]]&gt;=661,Table269678[[#This Row],[New or Used Vehicle?]]="New"),"Prime "&amp;6.7&amp;"%",IF(AND(Table269678[[#This Row],[Credit Score:]]&lt;781,Table269678[[#This Row],[Credit Score:]]&gt;=661,Table269678[[#This Row],[New or Used Vehicle?]]="Used"),"Prime "&amp;9.06&amp;"%",IF(AND(Table269678[[#This Row],[Credit Score:]]&lt;661,Table269678[[#This Row],[Credit Score:]]&gt;=601,Table269678[[#This Row],[New or Used Vehicle?]]="New"),"Near Prime "&amp;9.83&amp;"%",IF(AND(Table269678[[#This Row],[Credit Score:]]&lt;661,Table269678[[#This Row],[Credit Score:]]&gt;=601,Table269678[[#This Row],[New or Used Vehicle?]]="Used"),"Near Prime "&amp;13.74&amp;"%",IF(AND(Table269678[[#This Row],[Credit Score:]]&lt;601,Table269678[[#This Row],[Credit Score:]]&gt;=501,Table269678[[#This Row],[New or Used Vehicle?]]="New"),"Subprime " &amp;13.22&amp;"%",IF(AND(Table269678[[#This Row],[Credit Score:]]&lt;601,Table269678[[#This Row],[Credit Score:]]&gt;=501,Table269678[[#This Row],[New or Used Vehicle?]]="Used"),"Subprime "&amp; 18.99&amp;"%",IF(AND(Table269678[[#This Row],[Credit Score:]]&lt;501,Table269678[[#This Row],[Credit Score:]]&gt;=300,Table269678[[#This Row],[New or Used Vehicle?]]="New"),"Deep Subprime "&amp;15.81&amp;"%",IF(AND(Table269678[[#This Row],[Credit Score:]]&lt;501,Table269678[[#This Row],[Credit Score:]]&gt;=300,Table269678[[#This Row],[New or Used Vehicle?]]="Used"),"Deep Subprime " &amp;21.58&amp;"%"))))))))))</f>
        <v>Prime 6.7%</v>
      </c>
      <c r="BI12" s="83" t="str">
        <f>IF(Table269678[[#This Row],[Credit Score:]]&lt;580,"Poor",IF(AND(Table269678[[#This Row],[Credit Score:]]&gt;=580,Table269678[[#This Row],[Credit Score:]]&lt;=669),"Fair",IF(AND(Table269678[[#This Row],[Credit Score:]]&gt;669,Table269678[[#This Row],[Credit Score:]]&lt;=699),"Good",IF(AND(Table269678[[#This Row],[Credit Score:]]&gt;699,Table269678[[#This Row],[Credit Score:]]&lt;=739),"Very Good",IF(Table269678[[#This Row],[Credit Score:]]&gt;740,"Exceptional")))))</f>
        <v>Good</v>
      </c>
    </row>
    <row r="13" spans="1:63" ht="32.25" customHeight="1">
      <c r="T13" s="2"/>
      <c r="U13" s="2"/>
      <c r="V13" s="2"/>
    </row>
    <row r="14" spans="1:63" ht="30.75" customHeight="1"/>
    <row r="15" spans="1:63" ht="36" customHeight="1"/>
    <row r="16" spans="1:63" ht="129.75" customHeight="1"/>
    <row r="18" spans="7:7" ht="162.75" customHeight="1"/>
    <row r="21" spans="7:7" ht="16.5" customHeight="1">
      <c r="G21" s="6"/>
    </row>
  </sheetData>
  <sheetProtection insertColumns="0" insertRows="0" deleteColumns="0" deleteRows="0" autoFilter="0"/>
  <conditionalFormatting sqref="G5:G12">
    <cfRule type="cellIs" dxfId="132" priority="26" operator="greaterThan">
      <formula>0</formula>
    </cfRule>
  </conditionalFormatting>
  <conditionalFormatting sqref="G5:G12">
    <cfRule type="cellIs" dxfId="131" priority="25" operator="lessThanOrEqual">
      <formula>0</formula>
    </cfRule>
  </conditionalFormatting>
  <conditionalFormatting sqref="F5:F12">
    <cfRule type="containsText" dxfId="130" priority="24" operator="containsText" text="Under">
      <formula>NOT(ISERROR(SEARCH("Under",F5)))</formula>
    </cfRule>
  </conditionalFormatting>
  <conditionalFormatting sqref="F5:F12">
    <cfRule type="containsText" dxfId="129" priority="23" operator="containsText" text="Over">
      <formula>NOT(ISERROR(SEARCH("Over",F5)))</formula>
    </cfRule>
  </conditionalFormatting>
  <conditionalFormatting sqref="AR5:AT12">
    <cfRule type="containsBlanks" dxfId="128" priority="12">
      <formula>LEN(TRIM(AR5))=0</formula>
    </cfRule>
  </conditionalFormatting>
  <conditionalFormatting sqref="AF5">
    <cfRule type="cellIs" dxfId="127" priority="9" operator="lessThan">
      <formula>0</formula>
    </cfRule>
  </conditionalFormatting>
  <conditionalFormatting sqref="AD5:AO12">
    <cfRule type="containsBlanks" dxfId="126" priority="8">
      <formula>LEN(TRIM(AD5))=0</formula>
    </cfRule>
  </conditionalFormatting>
  <conditionalFormatting sqref="AC5:AC12">
    <cfRule type="containsText" dxfId="125" priority="7" operator="containsText" text="N">
      <formula>NOT(ISERROR(SEARCH("N",AC5)))</formula>
    </cfRule>
  </conditionalFormatting>
  <conditionalFormatting sqref="BI5:BI12">
    <cfRule type="containsText" dxfId="124" priority="5" operator="containsText" text="Good">
      <formula>NOT(ISERROR(SEARCH("Good",BI5)))</formula>
    </cfRule>
  </conditionalFormatting>
  <conditionalFormatting sqref="BI5:BI12">
    <cfRule type="containsText" dxfId="123" priority="4" operator="containsText" text="Very Good">
      <formula>NOT(ISERROR(SEARCH("Very Good",BI5)))</formula>
    </cfRule>
  </conditionalFormatting>
  <conditionalFormatting sqref="BI5:BI12">
    <cfRule type="containsText" dxfId="122" priority="3" operator="containsText" text="Poor">
      <formula>NOT(ISERROR(SEARCH("Poor",BI5)))</formula>
    </cfRule>
  </conditionalFormatting>
  <conditionalFormatting sqref="BI5:BI12">
    <cfRule type="containsText" dxfId="121" priority="2" operator="containsText" text="Exceptional">
      <formula>NOT(ISERROR(SEARCH("Exceptional",BI5)))</formula>
    </cfRule>
  </conditionalFormatting>
  <conditionalFormatting sqref="BI5:BI12">
    <cfRule type="containsText" dxfId="120" priority="1" operator="containsText" text="Fair">
      <formula>NOT(ISERROR(SEARCH("Fair",BI5)))</formula>
    </cfRule>
  </conditionalFormatting>
  <dataValidations count="28">
    <dataValidation allowBlank="1" showInputMessage="1" showErrorMessage="1" promptTitle="Best Dealer Offer Yet" prompt="This is the best offer you have received from the dealership on your trade in. Use the iseecars.com/ kbb.com values at the end of the spreadsheet along with actual invoice fees and destination charges to negotiate a better deal for your trade in" sqref="AK9:AN12 AO5:AO12 AF9:AH12 AD5:AD12" xr:uid="{43FF31B4-DFD1-440E-9AC3-8385B7B30FD9}"/>
    <dataValidation allowBlank="1" showInputMessage="1" showErrorMessage="1" promptTitle="Loan Pay Off" prompt="Your 10 day pay off quote if you are making payments on your trade in. A dealer will likely only offer this amount for your trade in and will not bite if you are &quot;upside down&quot; in your vehicle, meaning the pay off amount is higher than the value of the car" sqref="AF5 AE5:AE12" xr:uid="{D344AB5E-1D54-4A94-8852-EA217EC64D26}"/>
    <dataValidation allowBlank="1" showInputMessage="1" showErrorMessage="1" promptTitle="Best Trade In Offer" prompt="This is to log where you got the best offer on your trade in vehicle so you can use that to garner better offers from other dealers" sqref="AL5:AL8" xr:uid="{B3CF3061-D85A-45ED-8116-C7496AA8B07C}"/>
    <dataValidation allowBlank="1" showInputMessage="1" showErrorMessage="1" promptTitle="Down Payment + Rebate + Equity " prompt="Any amount/ equity between the dealer offer and pay off quote plus your down payment and rebate" sqref="AG4:AG7 AF4 AF6:AF7 AF8:AG8" xr:uid="{DA8806A3-16B1-435B-8BA6-3D527F2667DF}"/>
    <dataValidation allowBlank="1" showInputMessage="1" showErrorMessage="1" sqref="O4 M4 AZ4:AZ5 Q4:U4 X4:AE4 V4:W12 F5:F12 H5:K12 P4:P12 AH4:AY4 BA4:BI4" xr:uid="{48590B7D-2541-4808-902B-AF2351BF94E0}"/>
    <dataValidation allowBlank="1" showInputMessage="1" showErrorMessage="1" prompt="Title of this worksheet is in this cell. Enter Date in cell at right. Budget Totals are automatically calculated in Totals table starting in cell B4" sqref="T13:V13" xr:uid="{D868B490-7B35-4B32-9729-057E2CBD7BC5}"/>
    <dataValidation type="list" allowBlank="1" showInputMessage="1" showErrorMessage="1" sqref="L5:L12" xr:uid="{BC51A2F7-5FAA-4625-9918-639B495DE277}">
      <formula1>"N/A,Export,Disability,Family,Historic/Classic Vehicle,Agricultural/Farm,Estate Transfer,"</formula1>
    </dataValidation>
    <dataValidation type="list" allowBlank="1" showInputMessage="1" showErrorMessage="1" sqref="O5:O12" xr:uid="{154E0ABB-B173-4CD7-AA4D-C03910468F62}">
      <formula1>"48,60,72,75,84,96"</formula1>
    </dataValidation>
    <dataValidation type="list" allowBlank="1" showInputMessage="1" showErrorMessage="1" sqref="AP5:AP12 AC5:AC12" xr:uid="{71F4202B-6E8A-496E-A4BE-5C4AE1CFF43F}">
      <formula1>"Y,N"</formula1>
    </dataValidation>
    <dataValidation type="list" allowBlank="1" showInputMessage="1" showErrorMessage="1" promptTitle="Rebate Amount" prompt="This is the amount of money that the rebate covers and should technically be applied to the down payment. Make sure the loan amount reflects less the rebate and not just the down payment reflecting more" sqref="AQ5:AQ12" xr:uid="{EF12DB60-F00D-4685-82C9-68780457A80A}">
      <formula1>"N/A,0,200,300,400,500,600,700,750,800,900,1000,1100,1200,1250,1300,1400,1500"</formula1>
    </dataValidation>
    <dataValidation allowBlank="1" showInputMessage="1" showErrorMessage="1" promptTitle="Admin Fee" prompt="This fee can be found on the dealership's website, frequenetly located at the bottom of a vehicle's for sale page in smaller print. " sqref="N5:N12" xr:uid="{1C87A398-A4AE-42E6-9122-6586AE70D30A}"/>
    <dataValidation type="list" allowBlank="1" showInputMessage="1" showErrorMessage="1" promptTitle="Fees Included in Loan Amount?" prompt="If &quot;Yes&quot; to paying fees out of pocket, then this will lower the loan amount, meaning a lower monthly payment" sqref="Q5:Q12" xr:uid="{D9E8FDFA-5600-42FC-992C-62CEAD938EA9}">
      <formula1>"Y,N"</formula1>
    </dataValidation>
    <dataValidation allowBlank="1" showInputMessage="1" showErrorMessage="1" promptTitle="Extra Savings" prompt="Sometimes the sales person will suggest that there are more vague &quot;savings&quot; to negate a higher &quot;MSRP&quot; that they have listed. Always make sure to look up the MSRP on the manufacturer's website." sqref="R5:R12" xr:uid="{A639915C-4240-442A-BB63-17453955B426}"/>
    <dataValidation allowBlank="1" showInputMessage="1" showErrorMessage="1" promptTitle="Other Fees?" prompt="These likely include the DMV fees, so if you plan to pay for those out of pocket, make sure that these are not included in the itemized sales price." sqref="S5:T12" xr:uid="{111DF8B0-CD58-4D77-AF88-B188CA2E8E68}"/>
    <dataValidation allowBlank="1" showInputMessage="1" showErrorMessage="1" promptTitle="Total Interest After Loan Paid" prompt="This is the total amount of interest that will be paid by the borrower at the end of the term, the majority of interest being paid at the beginning of the term. " sqref="U5:U12" xr:uid="{00B6A5BA-8D78-489A-B535-4FB702E2664E}"/>
    <dataValidation allowBlank="1" showInputMessage="1" showErrorMessage="1" promptTitle="Property Tax" prompt="This number will change depending on the zip code. For instance for Middlesex, NC the property tax is $102.42 but for Raleigh, NC the property tax is higher, $152.42." sqref="X5:X12" xr:uid="{7DCF2217-2F0F-4FD8-AA71-6DE31737D293}"/>
    <dataValidation allowBlank="1" showInputMessage="1" showErrorMessage="1" promptTitle="Total Fees" prompt="This is the total of the one-time title fee, the registration fee, and the property tax." sqref="Y5:Y12" xr:uid="{951DE685-4384-4AD9-9CE1-5B737CA98065}"/>
    <dataValidation type="list" allowBlank="1" showInputMessage="1" showErrorMessage="1" promptTitle="Included in Admin Fee?" prompt="Most of the time, dealers do not include these fees in the admin fee but ask just to be sure. " sqref="AA5:AA12" xr:uid="{10600558-A014-449A-B3F2-BEC283F13B25}">
      <formula1>"Y,N"</formula1>
    </dataValidation>
    <dataValidation allowBlank="1" showInputMessage="1" showErrorMessage="1" promptTitle="Highway Use Tax" prompt="The sales tax for buying a vehicle is simply the Highway Use Tax, which is 3% of the total vehicle sale price or, if trading in, 3% of the difference between the trade in value of the old car and the sale price of the new car. " sqref="M5:M12" xr:uid="{4399F65E-354B-41AC-A4D4-2416E64D0EF6}"/>
    <dataValidation allowBlank="1" showInputMessage="1" showErrorMessage="1" promptTitle="% Difference MSRP" prompt="This is the percentage within the acutal manufacturer's MSRP that the vehicle is marked up or down" sqref="G5:G12" xr:uid="{08E3B616-6BF4-42E4-8DC8-4DF22ED75F60}"/>
    <dataValidation allowBlank="1" showInputMessage="1" showErrorMessage="1" promptTitle="Manufacturer MSRP" prompt="This is the true manufacturer's MSRP found on the manufacturer's website, in this case _x000a_from: https://automobiles.honda.com/cr-v" sqref="E5:E12" xr:uid="{B38DC202-F917-4ABB-8228-9BCAE7EE9BFA}"/>
    <dataValidation allowBlank="1" showInputMessage="1" showErrorMessage="1" promptTitle="Dealership Price" prompt="This is the price that the dealership has the vehicle listed, usually after &quot;Savings&quot; and before rebates, found on the dealership's website" sqref="C5:C12" xr:uid="{7D32C658-A9FC-4590-A503-164CC0F37404}"/>
    <dataValidation allowBlank="1" showInputMessage="1" showErrorMessage="1" promptTitle="Rebate Qualification" prompt="This is the stipulation that the buyer must meet in order to qualify for the advertised rebate, &quot;cash back&quot;, &quot;college graduate&quot; or &quot;military&quot; are a few common rebate programs" sqref="AR5:AT12" xr:uid="{DE10965E-BBB9-4661-B044-5FBA79135A8F}"/>
    <dataValidation type="list" allowBlank="1" showInputMessage="1" showErrorMessage="1" promptTitle="Total Fees" prompt="This is the total of the one-time title fee, the registration fee, and the property tax." sqref="Z5:Z12" xr:uid="{5A2932F4-F181-4F66-B3C9-719489BCAEC2}">
      <formula1>"Y,N"</formula1>
    </dataValidation>
    <dataValidation allowBlank="1" showInputMessage="1" showErrorMessage="1" promptTitle="Included in Admin Fee?" prompt="Most of the time, dealers do not include these fees in the admin fee but ask just to be sure. " sqref="AB5:AB12" xr:uid="{CAF5F3DD-842D-40BF-AFF8-97299030C4B9}"/>
    <dataValidation type="list" allowBlank="1" showInputMessage="1" showErrorMessage="1" sqref="BF5:BF12" xr:uid="{ECC08A5B-5D4B-4FDC-A810-04F01EF610E9}">
      <formula1>"New,Used"</formula1>
    </dataValidation>
    <dataValidation allowBlank="1" showInputMessage="1" showErrorMessage="1" promptTitle="APR" prompt="This is the annual interest rate that you are qualified for. Shop around and get prequlified with different banks, preferably credit unions, to secure the lowest APR you can find" sqref="AY5:AY12 BH5:BH12 BA5:BA12" xr:uid="{357F601B-4F90-4473-A9DA-80ED8FDAAFE4}"/>
    <dataValidation allowBlank="1" showInputMessage="1" showErrorMessage="1" promptTitle="Down Payment" prompt="This is one of the most important parts, real cash/ equity up front on your vehicle that can lower your APR and get &quot;skin in the game.&quot; This is outside of savings and rebate, though a rebate should be used with down payment" sqref="AU5:AY12" xr:uid="{FEB8FEBF-AF57-43E4-9DE0-7FD1D133269C}"/>
  </dataValidations>
  <printOptions horizontalCentered="1"/>
  <pageMargins left="0.25" right="0.25" top="0.75" bottom="0.75" header="0.3" footer="0.3"/>
  <pageSetup scale="65" fitToWidth="0" orientation="landscape"/>
  <headerFooter differentFirst="1">
    <oddFooter>Page &amp;P of &amp;N</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2D679-EA41-4896-AEEF-A036B183BE3E}">
  <dimension ref="A1"/>
  <sheetViews>
    <sheetView tabSelected="1" workbookViewId="0"/>
  </sheetViews>
  <sheetFormatPr defaultRowHeight="17.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FA37FF-5335-4856-B860-01F8047CB5C4}"/>
</file>

<file path=customXml/itemProps2.xml><?xml version="1.0" encoding="utf-8"?>
<ds:datastoreItem xmlns:ds="http://schemas.openxmlformats.org/officeDocument/2006/customXml" ds:itemID="{128CD06D-273C-40DF-89E3-C985F1B6F615}"/>
</file>

<file path=customXml/itemProps3.xml><?xml version="1.0" encoding="utf-8"?>
<ds:datastoreItem xmlns:ds="http://schemas.openxmlformats.org/officeDocument/2006/customXml" ds:itemID="{F07F6931-0507-4143-895C-55BDB2E7DF39}"/>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TM23032109</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2025-07-13T21:49:33Z</dcterms:created>
  <dcterms:modified xsi:type="dcterms:W3CDTF">2026-07-04T14:01:47Z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